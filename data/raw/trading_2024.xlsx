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8eb9676f6d6732/"/>
    </mc:Choice>
  </mc:AlternateContent>
  <xr:revisionPtr revIDLastSave="2703" documentId="8_{DC4153B3-E45E-134A-8DEA-54B6A2BE3897}" xr6:coauthVersionLast="47" xr6:coauthVersionMax="47" xr10:uidLastSave="{AD621450-0063-4C27-96D7-030ACA1D3BA1}"/>
  <bookViews>
    <workbookView xWindow="0" yWindow="500" windowWidth="28800" windowHeight="16380" xr2:uid="{00000000-000D-0000-FFFF-FFFF00000000}"/>
  </bookViews>
  <sheets>
    <sheet name="Registo de operações" sheetId="1" r:id="rId1"/>
    <sheet name="Statistics" sheetId="9" r:id="rId2"/>
    <sheet name="Evolução de Conta" sheetId="3" r:id="rId3"/>
    <sheet name="Pontuação" sheetId="2" r:id="rId4"/>
  </sheets>
  <definedNames>
    <definedName name="_xlnm._FilterDatabase" localSheetId="0" hidden="1">'Registo de operações'!$A$10:$AJ$213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90" i="1" l="1"/>
  <c r="AG89" i="1"/>
  <c r="AD89" i="1"/>
  <c r="AG88" i="1"/>
  <c r="AD88" i="1"/>
  <c r="AG87" i="1"/>
  <c r="AD87" i="1"/>
  <c r="AG86" i="1"/>
  <c r="AD86" i="1"/>
  <c r="AG85" i="1"/>
  <c r="AD85" i="1"/>
  <c r="AG84" i="1"/>
  <c r="AD84" i="1"/>
  <c r="AG83" i="1"/>
  <c r="AD83" i="1"/>
  <c r="AD82" i="1"/>
  <c r="AD81" i="1"/>
  <c r="AD80" i="1"/>
  <c r="AD79" i="1"/>
  <c r="AD78" i="1"/>
  <c r="AD77" i="1"/>
  <c r="AD75" i="1"/>
  <c r="AD74" i="1"/>
  <c r="AD73" i="1"/>
  <c r="AD72" i="1"/>
  <c r="AD71" i="1"/>
  <c r="AD70" i="1"/>
  <c r="AD69" i="1"/>
  <c r="AD66" i="1"/>
  <c r="AD64" i="1"/>
  <c r="AD63" i="1"/>
  <c r="AD62" i="1"/>
  <c r="AD59" i="1"/>
  <c r="AD58" i="1"/>
  <c r="AD57" i="1"/>
  <c r="AD56" i="1"/>
  <c r="AD55" i="1"/>
  <c r="AD53" i="1"/>
  <c r="AD52" i="1"/>
  <c r="AD51" i="1"/>
  <c r="AD50" i="1"/>
  <c r="AD49" i="1"/>
  <c r="AD47" i="1"/>
  <c r="AD46" i="1"/>
  <c r="AD45" i="1"/>
  <c r="AD44" i="1"/>
  <c r="AD43" i="1"/>
  <c r="AD42" i="1"/>
  <c r="AD41" i="1"/>
  <c r="AD40" i="1"/>
  <c r="AD38" i="1"/>
  <c r="AD36" i="1"/>
  <c r="AD35" i="1"/>
  <c r="AD34" i="1"/>
  <c r="AD31" i="1"/>
  <c r="AD29" i="1"/>
  <c r="AD30" i="1"/>
  <c r="AD24" i="1"/>
  <c r="AD21" i="1"/>
  <c r="AD18" i="1"/>
  <c r="AD16" i="1"/>
  <c r="AD15" i="1"/>
  <c r="AD14" i="1"/>
  <c r="AD13" i="1"/>
  <c r="AD12" i="1"/>
  <c r="AD11" i="1"/>
  <c r="R11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AB65" i="1" s="1"/>
  <c r="Z66" i="1"/>
  <c r="Z67" i="1"/>
  <c r="AB67" i="1" s="1"/>
  <c r="Z68" i="1"/>
  <c r="Z69" i="1"/>
  <c r="AB69" i="1" s="1"/>
  <c r="Z70" i="1"/>
  <c r="AB70" i="1" s="1"/>
  <c r="Z71" i="1"/>
  <c r="AB71" i="1" s="1"/>
  <c r="Z72" i="1"/>
  <c r="Z73" i="1"/>
  <c r="Z74" i="1"/>
  <c r="AB74" i="1" s="1"/>
  <c r="Z75" i="1"/>
  <c r="Z76" i="1"/>
  <c r="AB76" i="1" s="1"/>
  <c r="Z77" i="1"/>
  <c r="Z78" i="1"/>
  <c r="Z79" i="1"/>
  <c r="AB79" i="1" s="1"/>
  <c r="Z80" i="1"/>
  <c r="Z81" i="1"/>
  <c r="Z82" i="1"/>
  <c r="Z83" i="1"/>
  <c r="AB83" i="1" s="1"/>
  <c r="AA83" i="1" s="1"/>
  <c r="Z84" i="1"/>
  <c r="Z85" i="1"/>
  <c r="AB85" i="1" s="1"/>
  <c r="AA85" i="1" s="1"/>
  <c r="Z86" i="1"/>
  <c r="AB86" i="1" s="1"/>
  <c r="AA86" i="1" s="1"/>
  <c r="Z87" i="1"/>
  <c r="Z88" i="1"/>
  <c r="Z89" i="1"/>
  <c r="AB89" i="1" s="1"/>
  <c r="AA89" i="1" s="1"/>
  <c r="Z90" i="1"/>
  <c r="Z91" i="1"/>
  <c r="AB91" i="1" s="1"/>
  <c r="AA91" i="1" s="1"/>
  <c r="Z92" i="1"/>
  <c r="AB92" i="1" s="1"/>
  <c r="AA92" i="1" s="1"/>
  <c r="Z93" i="1"/>
  <c r="AB93" i="1" s="1"/>
  <c r="AA93" i="1" s="1"/>
  <c r="Z94" i="1"/>
  <c r="AB94" i="1" s="1"/>
  <c r="AA94" i="1" s="1"/>
  <c r="Z95" i="1"/>
  <c r="AB95" i="1" s="1"/>
  <c r="AA95" i="1" s="1"/>
  <c r="Z96" i="1"/>
  <c r="AB96" i="1" s="1"/>
  <c r="AA96" i="1" s="1"/>
  <c r="Z97" i="1"/>
  <c r="AB97" i="1" s="1"/>
  <c r="AA97" i="1" s="1"/>
  <c r="Z98" i="1"/>
  <c r="AB98" i="1" s="1"/>
  <c r="AA98" i="1" s="1"/>
  <c r="Z99" i="1"/>
  <c r="AB99" i="1" s="1"/>
  <c r="AA99" i="1" s="1"/>
  <c r="Z100" i="1"/>
  <c r="AB100" i="1" s="1"/>
  <c r="AA100" i="1" s="1"/>
  <c r="Z101" i="1"/>
  <c r="AB101" i="1" s="1"/>
  <c r="AA101" i="1" s="1"/>
  <c r="Z102" i="1"/>
  <c r="AB102" i="1" s="1"/>
  <c r="AA102" i="1" s="1"/>
  <c r="Z103" i="1"/>
  <c r="AB103" i="1" s="1"/>
  <c r="AA103" i="1" s="1"/>
  <c r="Z104" i="1"/>
  <c r="AB104" i="1" s="1"/>
  <c r="AA104" i="1" s="1"/>
  <c r="Z105" i="1"/>
  <c r="AB105" i="1" s="1"/>
  <c r="AA105" i="1" s="1"/>
  <c r="Z106" i="1"/>
  <c r="AB106" i="1" s="1"/>
  <c r="AA106" i="1" s="1"/>
  <c r="Z107" i="1"/>
  <c r="AB107" i="1" s="1"/>
  <c r="AA107" i="1" s="1"/>
  <c r="Z108" i="1"/>
  <c r="AB108" i="1" s="1"/>
  <c r="AA108" i="1" s="1"/>
  <c r="Z109" i="1"/>
  <c r="AB109" i="1" s="1"/>
  <c r="AA109" i="1" s="1"/>
  <c r="Z110" i="1"/>
  <c r="AB110" i="1" s="1"/>
  <c r="AA110" i="1" s="1"/>
  <c r="Z111" i="1"/>
  <c r="AB111" i="1" s="1"/>
  <c r="AA111" i="1" s="1"/>
  <c r="Z112" i="1"/>
  <c r="AB112" i="1" s="1"/>
  <c r="AA112" i="1" s="1"/>
  <c r="Z113" i="1"/>
  <c r="AB113" i="1" s="1"/>
  <c r="AA113" i="1" s="1"/>
  <c r="Z114" i="1"/>
  <c r="AB114" i="1" s="1"/>
  <c r="AA114" i="1" s="1"/>
  <c r="Z115" i="1"/>
  <c r="AB115" i="1" s="1"/>
  <c r="AA115" i="1" s="1"/>
  <c r="Z116" i="1"/>
  <c r="AB116" i="1" s="1"/>
  <c r="AA116" i="1" s="1"/>
  <c r="Z117" i="1"/>
  <c r="AB117" i="1" s="1"/>
  <c r="AA117" i="1" s="1"/>
  <c r="Z118" i="1"/>
  <c r="AB118" i="1" s="1"/>
  <c r="AA118" i="1" s="1"/>
  <c r="Z119" i="1"/>
  <c r="AB119" i="1" s="1"/>
  <c r="AA119" i="1" s="1"/>
  <c r="Z120" i="1"/>
  <c r="AB120" i="1" s="1"/>
  <c r="AA120" i="1" s="1"/>
  <c r="Z121" i="1"/>
  <c r="AB121" i="1" s="1"/>
  <c r="AA121" i="1" s="1"/>
  <c r="Z122" i="1"/>
  <c r="AB122" i="1" s="1"/>
  <c r="AA122" i="1" s="1"/>
  <c r="Z123" i="1"/>
  <c r="AB123" i="1" s="1"/>
  <c r="AA123" i="1" s="1"/>
  <c r="Z124" i="1"/>
  <c r="AB124" i="1" s="1"/>
  <c r="AA124" i="1" s="1"/>
  <c r="Z125" i="1"/>
  <c r="AB125" i="1" s="1"/>
  <c r="AA125" i="1" s="1"/>
  <c r="Z126" i="1"/>
  <c r="AB126" i="1" s="1"/>
  <c r="AA126" i="1" s="1"/>
  <c r="Z127" i="1"/>
  <c r="AB127" i="1" s="1"/>
  <c r="AA127" i="1" s="1"/>
  <c r="Z128" i="1"/>
  <c r="AB128" i="1" s="1"/>
  <c r="AA128" i="1" s="1"/>
  <c r="Z129" i="1"/>
  <c r="AB129" i="1" s="1"/>
  <c r="AA129" i="1" s="1"/>
  <c r="Z130" i="1"/>
  <c r="AB130" i="1" s="1"/>
  <c r="AA130" i="1" s="1"/>
  <c r="Z131" i="1"/>
  <c r="AB131" i="1" s="1"/>
  <c r="AA131" i="1" s="1"/>
  <c r="Z132" i="1"/>
  <c r="AB132" i="1" s="1"/>
  <c r="AA132" i="1" s="1"/>
  <c r="Z133" i="1"/>
  <c r="AB133" i="1" s="1"/>
  <c r="AA133" i="1" s="1"/>
  <c r="Z134" i="1"/>
  <c r="AB134" i="1" s="1"/>
  <c r="AA134" i="1" s="1"/>
  <c r="Z135" i="1"/>
  <c r="AB135" i="1" s="1"/>
  <c r="AA135" i="1" s="1"/>
  <c r="Z136" i="1"/>
  <c r="AB136" i="1" s="1"/>
  <c r="AA136" i="1" s="1"/>
  <c r="Z137" i="1"/>
  <c r="AB137" i="1" s="1"/>
  <c r="AA137" i="1" s="1"/>
  <c r="Z138" i="1"/>
  <c r="AB138" i="1" s="1"/>
  <c r="AA138" i="1" s="1"/>
  <c r="Z139" i="1"/>
  <c r="AB139" i="1" s="1"/>
  <c r="AA139" i="1" s="1"/>
  <c r="Z140" i="1"/>
  <c r="AB140" i="1" s="1"/>
  <c r="AA140" i="1" s="1"/>
  <c r="Z141" i="1"/>
  <c r="AB141" i="1" s="1"/>
  <c r="AA141" i="1" s="1"/>
  <c r="Z142" i="1"/>
  <c r="AB142" i="1" s="1"/>
  <c r="AA142" i="1" s="1"/>
  <c r="Z143" i="1"/>
  <c r="AB143" i="1" s="1"/>
  <c r="AA143" i="1" s="1"/>
  <c r="Z144" i="1"/>
  <c r="AB144" i="1" s="1"/>
  <c r="AA144" i="1" s="1"/>
  <c r="Z145" i="1"/>
  <c r="AB145" i="1" s="1"/>
  <c r="AA145" i="1" s="1"/>
  <c r="Z146" i="1"/>
  <c r="AB146" i="1" s="1"/>
  <c r="AA146" i="1" s="1"/>
  <c r="Z147" i="1"/>
  <c r="AB147" i="1" s="1"/>
  <c r="AA147" i="1" s="1"/>
  <c r="Z148" i="1"/>
  <c r="AB148" i="1" s="1"/>
  <c r="AA148" i="1" s="1"/>
  <c r="Z149" i="1"/>
  <c r="AB149" i="1" s="1"/>
  <c r="AA149" i="1" s="1"/>
  <c r="Z150" i="1"/>
  <c r="AB150" i="1" s="1"/>
  <c r="AA150" i="1" s="1"/>
  <c r="Z151" i="1"/>
  <c r="AB151" i="1" s="1"/>
  <c r="AA151" i="1" s="1"/>
  <c r="Z152" i="1"/>
  <c r="AB152" i="1" s="1"/>
  <c r="AA152" i="1" s="1"/>
  <c r="Z153" i="1"/>
  <c r="AB153" i="1" s="1"/>
  <c r="AA153" i="1" s="1"/>
  <c r="Z154" i="1"/>
  <c r="AB154" i="1" s="1"/>
  <c r="AA154" i="1" s="1"/>
  <c r="Z155" i="1"/>
  <c r="AB155" i="1" s="1"/>
  <c r="AA155" i="1" s="1"/>
  <c r="Z156" i="1"/>
  <c r="AB156" i="1" s="1"/>
  <c r="AA156" i="1" s="1"/>
  <c r="Z157" i="1"/>
  <c r="AB157" i="1" s="1"/>
  <c r="AA157" i="1" s="1"/>
  <c r="Z158" i="1"/>
  <c r="AB158" i="1" s="1"/>
  <c r="AA158" i="1" s="1"/>
  <c r="Z159" i="1"/>
  <c r="AB159" i="1" s="1"/>
  <c r="AA159" i="1" s="1"/>
  <c r="Z160" i="1"/>
  <c r="AB160" i="1" s="1"/>
  <c r="AA160" i="1" s="1"/>
  <c r="Z161" i="1"/>
  <c r="AB161" i="1" s="1"/>
  <c r="AA161" i="1" s="1"/>
  <c r="Z162" i="1"/>
  <c r="AB162" i="1" s="1"/>
  <c r="AA162" i="1" s="1"/>
  <c r="Z163" i="1"/>
  <c r="AB163" i="1" s="1"/>
  <c r="AA163" i="1" s="1"/>
  <c r="Z164" i="1"/>
  <c r="AB164" i="1" s="1"/>
  <c r="AA164" i="1" s="1"/>
  <c r="Z165" i="1"/>
  <c r="AB165" i="1" s="1"/>
  <c r="AA165" i="1" s="1"/>
  <c r="Z166" i="1"/>
  <c r="AB166" i="1" s="1"/>
  <c r="AA166" i="1" s="1"/>
  <c r="Z167" i="1"/>
  <c r="AB167" i="1" s="1"/>
  <c r="AA167" i="1" s="1"/>
  <c r="Z168" i="1"/>
  <c r="AB168" i="1" s="1"/>
  <c r="AA168" i="1" s="1"/>
  <c r="Z169" i="1"/>
  <c r="AB169" i="1" s="1"/>
  <c r="AA169" i="1" s="1"/>
  <c r="Z170" i="1"/>
  <c r="AB170" i="1" s="1"/>
  <c r="AA170" i="1" s="1"/>
  <c r="Z171" i="1"/>
  <c r="AB171" i="1" s="1"/>
  <c r="AA171" i="1" s="1"/>
  <c r="Z172" i="1"/>
  <c r="AB172" i="1" s="1"/>
  <c r="AA172" i="1" s="1"/>
  <c r="Z173" i="1"/>
  <c r="AB173" i="1" s="1"/>
  <c r="AA173" i="1" s="1"/>
  <c r="Z174" i="1"/>
  <c r="AB174" i="1" s="1"/>
  <c r="AA174" i="1" s="1"/>
  <c r="Z175" i="1"/>
  <c r="AB175" i="1" s="1"/>
  <c r="AA175" i="1" s="1"/>
  <c r="Z176" i="1"/>
  <c r="AB176" i="1" s="1"/>
  <c r="AA176" i="1" s="1"/>
  <c r="Z177" i="1"/>
  <c r="AB177" i="1" s="1"/>
  <c r="AA177" i="1" s="1"/>
  <c r="Z178" i="1"/>
  <c r="AB178" i="1" s="1"/>
  <c r="AA178" i="1" s="1"/>
  <c r="Z179" i="1"/>
  <c r="AB179" i="1" s="1"/>
  <c r="AA179" i="1" s="1"/>
  <c r="Z180" i="1"/>
  <c r="AB180" i="1" s="1"/>
  <c r="AA180" i="1" s="1"/>
  <c r="Z181" i="1"/>
  <c r="AB181" i="1" s="1"/>
  <c r="AA181" i="1" s="1"/>
  <c r="Z182" i="1"/>
  <c r="AB182" i="1" s="1"/>
  <c r="AA182" i="1" s="1"/>
  <c r="Z183" i="1"/>
  <c r="AB183" i="1" s="1"/>
  <c r="AA183" i="1" s="1"/>
  <c r="Z184" i="1"/>
  <c r="AB184" i="1" s="1"/>
  <c r="AA184" i="1" s="1"/>
  <c r="Z185" i="1"/>
  <c r="AB185" i="1" s="1"/>
  <c r="AA185" i="1" s="1"/>
  <c r="Z186" i="1"/>
  <c r="AB186" i="1" s="1"/>
  <c r="AA186" i="1" s="1"/>
  <c r="Z187" i="1"/>
  <c r="AB187" i="1" s="1"/>
  <c r="AA187" i="1" s="1"/>
  <c r="Z188" i="1"/>
  <c r="AB188" i="1" s="1"/>
  <c r="AA188" i="1" s="1"/>
  <c r="Z189" i="1"/>
  <c r="AB189" i="1" s="1"/>
  <c r="AA189" i="1" s="1"/>
  <c r="Z190" i="1"/>
  <c r="AB190" i="1" s="1"/>
  <c r="AA190" i="1" s="1"/>
  <c r="Z191" i="1"/>
  <c r="AB191" i="1" s="1"/>
  <c r="AA191" i="1" s="1"/>
  <c r="Z192" i="1"/>
  <c r="AB192" i="1" s="1"/>
  <c r="AA192" i="1" s="1"/>
  <c r="Z193" i="1"/>
  <c r="AB193" i="1" s="1"/>
  <c r="AA193" i="1" s="1"/>
  <c r="Z194" i="1"/>
  <c r="AB194" i="1" s="1"/>
  <c r="AA194" i="1" s="1"/>
  <c r="Z195" i="1"/>
  <c r="AB195" i="1" s="1"/>
  <c r="AA195" i="1" s="1"/>
  <c r="Z196" i="1"/>
  <c r="AB196" i="1" s="1"/>
  <c r="AA196" i="1" s="1"/>
  <c r="Z197" i="1"/>
  <c r="AB197" i="1" s="1"/>
  <c r="AA197" i="1" s="1"/>
  <c r="Z198" i="1"/>
  <c r="AB198" i="1" s="1"/>
  <c r="AA198" i="1" s="1"/>
  <c r="Z199" i="1"/>
  <c r="AB199" i="1" s="1"/>
  <c r="AA199" i="1" s="1"/>
  <c r="Z200" i="1"/>
  <c r="AB200" i="1" s="1"/>
  <c r="AA200" i="1" s="1"/>
  <c r="Z201" i="1"/>
  <c r="AB201" i="1" s="1"/>
  <c r="AA201" i="1" s="1"/>
  <c r="Z202" i="1"/>
  <c r="AB202" i="1" s="1"/>
  <c r="AA202" i="1" s="1"/>
  <c r="Z203" i="1"/>
  <c r="AB203" i="1" s="1"/>
  <c r="AA203" i="1" s="1"/>
  <c r="Z204" i="1"/>
  <c r="AB204" i="1" s="1"/>
  <c r="AA204" i="1" s="1"/>
  <c r="Z205" i="1"/>
  <c r="AB205" i="1" s="1"/>
  <c r="AA205" i="1" s="1"/>
  <c r="Z206" i="1"/>
  <c r="AB206" i="1" s="1"/>
  <c r="AA206" i="1" s="1"/>
  <c r="Z207" i="1"/>
  <c r="AB207" i="1" s="1"/>
  <c r="AA207" i="1" s="1"/>
  <c r="Z208" i="1"/>
  <c r="AB208" i="1" s="1"/>
  <c r="AA208" i="1" s="1"/>
  <c r="Z209" i="1"/>
  <c r="AB209" i="1" s="1"/>
  <c r="AA209" i="1" s="1"/>
  <c r="Z210" i="1"/>
  <c r="AB210" i="1" s="1"/>
  <c r="AA210" i="1" s="1"/>
  <c r="Z211" i="1"/>
  <c r="AB211" i="1" s="1"/>
  <c r="AA211" i="1" s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X83" i="1" s="1"/>
  <c r="W84" i="1"/>
  <c r="X84" i="1" s="1"/>
  <c r="W85" i="1"/>
  <c r="X85" i="1" s="1"/>
  <c r="W86" i="1"/>
  <c r="X86" i="1" s="1"/>
  <c r="W87" i="1"/>
  <c r="X87" i="1" s="1"/>
  <c r="W88" i="1"/>
  <c r="W89" i="1"/>
  <c r="X89" i="1" s="1"/>
  <c r="W90" i="1"/>
  <c r="X90" i="1" s="1"/>
  <c r="AG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X147" i="1" s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X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X211" i="1" s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K88" i="1" s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J101" i="1" s="1"/>
  <c r="AI102" i="1"/>
  <c r="AJ102" i="1" s="1"/>
  <c r="AI103" i="1"/>
  <c r="AI104" i="1"/>
  <c r="AI105" i="1"/>
  <c r="AI106" i="1"/>
  <c r="AJ106" i="1" s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J118" i="1" s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K132" i="1" s="1"/>
  <c r="AI133" i="1"/>
  <c r="AI134" i="1"/>
  <c r="AJ134" i="1" s="1"/>
  <c r="AI135" i="1"/>
  <c r="AI136" i="1"/>
  <c r="AK136" i="1" s="1"/>
  <c r="AI137" i="1"/>
  <c r="AK137" i="1" s="1"/>
  <c r="AI138" i="1"/>
  <c r="AJ138" i="1" s="1"/>
  <c r="AI139" i="1"/>
  <c r="AI140" i="1"/>
  <c r="AK140" i="1" s="1"/>
  <c r="AI141" i="1"/>
  <c r="AK141" i="1" s="1"/>
  <c r="AI142" i="1"/>
  <c r="AJ142" i="1" s="1"/>
  <c r="AI143" i="1"/>
  <c r="AI144" i="1"/>
  <c r="AK144" i="1" s="1"/>
  <c r="AI145" i="1"/>
  <c r="AJ145" i="1" s="1"/>
  <c r="AI146" i="1"/>
  <c r="AJ146" i="1" s="1"/>
  <c r="AI147" i="1"/>
  <c r="AI148" i="1"/>
  <c r="AK148" i="1" s="1"/>
  <c r="AI149" i="1"/>
  <c r="AK149" i="1" s="1"/>
  <c r="AI150" i="1"/>
  <c r="AJ150" i="1" s="1"/>
  <c r="AI151" i="1"/>
  <c r="AI152" i="1"/>
  <c r="AK152" i="1" s="1"/>
  <c r="AI153" i="1"/>
  <c r="AK153" i="1" s="1"/>
  <c r="AI154" i="1"/>
  <c r="AJ154" i="1" s="1"/>
  <c r="AI155" i="1"/>
  <c r="AI156" i="1"/>
  <c r="AK156" i="1" s="1"/>
  <c r="AI157" i="1"/>
  <c r="AK157" i="1" s="1"/>
  <c r="AI158" i="1"/>
  <c r="AJ158" i="1" s="1"/>
  <c r="AI159" i="1"/>
  <c r="AI160" i="1"/>
  <c r="AK160" i="1" s="1"/>
  <c r="AI161" i="1"/>
  <c r="AJ161" i="1" s="1"/>
  <c r="AI162" i="1"/>
  <c r="AJ162" i="1" s="1"/>
  <c r="AI163" i="1"/>
  <c r="AI164" i="1"/>
  <c r="AK164" i="1" s="1"/>
  <c r="AI165" i="1"/>
  <c r="AK165" i="1" s="1"/>
  <c r="AI166" i="1"/>
  <c r="AJ166" i="1" s="1"/>
  <c r="AI167" i="1"/>
  <c r="AK167" i="1" s="1"/>
  <c r="AI168" i="1"/>
  <c r="AK168" i="1" s="1"/>
  <c r="AI169" i="1"/>
  <c r="AK169" i="1" s="1"/>
  <c r="AI170" i="1"/>
  <c r="AJ170" i="1" s="1"/>
  <c r="AI171" i="1"/>
  <c r="AK171" i="1" s="1"/>
  <c r="AI172" i="1"/>
  <c r="AK172" i="1" s="1"/>
  <c r="AI173" i="1"/>
  <c r="AK173" i="1" s="1"/>
  <c r="AI174" i="1"/>
  <c r="AJ174" i="1" s="1"/>
  <c r="AI175" i="1"/>
  <c r="AK175" i="1" s="1"/>
  <c r="AI176" i="1"/>
  <c r="AJ176" i="1" s="1"/>
  <c r="AI177" i="1"/>
  <c r="AJ177" i="1" s="1"/>
  <c r="AI178" i="1"/>
  <c r="AJ178" i="1" s="1"/>
  <c r="AI179" i="1"/>
  <c r="AK179" i="1" s="1"/>
  <c r="AI180" i="1"/>
  <c r="AK180" i="1" s="1"/>
  <c r="AI181" i="1"/>
  <c r="AK181" i="1" s="1"/>
  <c r="AI182" i="1"/>
  <c r="AJ182" i="1" s="1"/>
  <c r="AI183" i="1"/>
  <c r="AK183" i="1" s="1"/>
  <c r="AI184" i="1"/>
  <c r="AJ184" i="1" s="1"/>
  <c r="AI185" i="1"/>
  <c r="AK185" i="1" s="1"/>
  <c r="AI186" i="1"/>
  <c r="AJ186" i="1" s="1"/>
  <c r="AI187" i="1"/>
  <c r="AK187" i="1" s="1"/>
  <c r="AI188" i="1"/>
  <c r="AJ188" i="1" s="1"/>
  <c r="AI189" i="1"/>
  <c r="AJ189" i="1" s="1"/>
  <c r="AI190" i="1"/>
  <c r="AJ190" i="1" s="1"/>
  <c r="AI191" i="1"/>
  <c r="AK191" i="1" s="1"/>
  <c r="AI192" i="1"/>
  <c r="AK192" i="1" s="1"/>
  <c r="AI193" i="1"/>
  <c r="AK193" i="1" s="1"/>
  <c r="AI194" i="1"/>
  <c r="AJ194" i="1" s="1"/>
  <c r="AI195" i="1"/>
  <c r="AK195" i="1" s="1"/>
  <c r="AI196" i="1"/>
  <c r="AK196" i="1" s="1"/>
  <c r="AI197" i="1"/>
  <c r="AK197" i="1" s="1"/>
  <c r="AI198" i="1"/>
  <c r="AJ198" i="1" s="1"/>
  <c r="AI199" i="1"/>
  <c r="AK199" i="1" s="1"/>
  <c r="AI200" i="1"/>
  <c r="AJ200" i="1" s="1"/>
  <c r="AI201" i="1"/>
  <c r="AK201" i="1" s="1"/>
  <c r="AI202" i="1"/>
  <c r="AJ202" i="1" s="1"/>
  <c r="AI203" i="1"/>
  <c r="AK203" i="1" s="1"/>
  <c r="AI204" i="1"/>
  <c r="AJ204" i="1" s="1"/>
  <c r="AI205" i="1"/>
  <c r="AJ205" i="1" s="1"/>
  <c r="AI206" i="1"/>
  <c r="AJ206" i="1" s="1"/>
  <c r="AI207" i="1"/>
  <c r="AK207" i="1" s="1"/>
  <c r="AI208" i="1"/>
  <c r="AK208" i="1" s="1"/>
  <c r="AI209" i="1"/>
  <c r="AJ209" i="1" s="1"/>
  <c r="AI210" i="1"/>
  <c r="AJ210" i="1" s="1"/>
  <c r="AI211" i="1"/>
  <c r="AK211" i="1" s="1"/>
  <c r="AI12" i="1"/>
  <c r="AI13" i="1"/>
  <c r="AH17" i="1"/>
  <c r="AH19" i="1"/>
  <c r="AH20" i="1"/>
  <c r="AH21" i="1"/>
  <c r="AH22" i="1"/>
  <c r="AH23" i="1"/>
  <c r="AH25" i="1"/>
  <c r="AH26" i="1"/>
  <c r="AH27" i="1"/>
  <c r="AH28" i="1"/>
  <c r="AH37" i="1"/>
  <c r="AH39" i="1"/>
  <c r="AH41" i="1"/>
  <c r="AH48" i="1"/>
  <c r="AH54" i="1"/>
  <c r="AH60" i="1"/>
  <c r="AH65" i="1"/>
  <c r="AH67" i="1"/>
  <c r="AH68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116" i="1"/>
  <c r="K15" i="9"/>
  <c r="K14" i="9"/>
  <c r="J15" i="9"/>
  <c r="J14" i="9"/>
  <c r="I15" i="9"/>
  <c r="I14" i="9"/>
  <c r="H15" i="9"/>
  <c r="H14" i="9"/>
  <c r="G15" i="9"/>
  <c r="G14" i="9"/>
  <c r="F15" i="9"/>
  <c r="F14" i="9"/>
  <c r="E15" i="9"/>
  <c r="E14" i="9"/>
  <c r="D15" i="9"/>
  <c r="D14" i="9"/>
  <c r="C15" i="9"/>
  <c r="C14" i="9"/>
  <c r="B15" i="9"/>
  <c r="B6" i="9"/>
  <c r="B14" i="9"/>
  <c r="B5" i="9"/>
  <c r="F6" i="9"/>
  <c r="F5" i="9"/>
  <c r="E6" i="9"/>
  <c r="E5" i="9"/>
  <c r="D6" i="9"/>
  <c r="D5" i="9"/>
  <c r="C6" i="9"/>
  <c r="C5" i="9"/>
  <c r="B4" i="9"/>
  <c r="D25" i="9"/>
  <c r="C25" i="9"/>
  <c r="D24" i="9"/>
  <c r="C24" i="9"/>
  <c r="B25" i="9"/>
  <c r="B24" i="9"/>
  <c r="D23" i="9"/>
  <c r="C23" i="9"/>
  <c r="B23" i="9"/>
  <c r="K13" i="9"/>
  <c r="J13" i="9"/>
  <c r="I13" i="9"/>
  <c r="H13" i="9"/>
  <c r="G13" i="9"/>
  <c r="F13" i="9"/>
  <c r="E13" i="9"/>
  <c r="D13" i="9"/>
  <c r="C13" i="9"/>
  <c r="B13" i="9"/>
  <c r="AH83" i="1"/>
  <c r="F4" i="9"/>
  <c r="E4" i="9"/>
  <c r="D4" i="9"/>
  <c r="C4" i="9"/>
  <c r="G4" i="1"/>
  <c r="H4" i="1"/>
  <c r="AC4" i="1"/>
  <c r="AD4" i="1"/>
  <c r="AB90" i="1" l="1"/>
  <c r="AA90" i="1" s="1"/>
  <c r="AB88" i="1"/>
  <c r="AB87" i="1"/>
  <c r="AA87" i="1" s="1"/>
  <c r="AB84" i="1"/>
  <c r="AA84" i="1" s="1"/>
  <c r="AB82" i="1"/>
  <c r="AB81" i="1"/>
  <c r="AB80" i="1"/>
  <c r="AB78" i="1"/>
  <c r="AB77" i="1"/>
  <c r="AB75" i="1"/>
  <c r="AB73" i="1"/>
  <c r="AB72" i="1"/>
  <c r="AB68" i="1"/>
  <c r="AB66" i="1"/>
  <c r="AB64" i="1"/>
  <c r="AB63" i="1"/>
  <c r="AB62" i="1"/>
  <c r="AB58" i="1"/>
  <c r="AB57" i="1"/>
  <c r="AB55" i="1"/>
  <c r="AB47" i="1"/>
  <c r="AB46" i="1"/>
  <c r="AB43" i="1"/>
  <c r="AB41" i="1"/>
  <c r="AB39" i="1"/>
  <c r="AB38" i="1"/>
  <c r="AB36" i="1"/>
  <c r="AB35" i="1"/>
  <c r="AB34" i="1"/>
  <c r="AB33" i="1"/>
  <c r="AB32" i="1"/>
  <c r="AB30" i="1"/>
  <c r="AB29" i="1"/>
  <c r="AB28" i="1"/>
  <c r="AB27" i="1"/>
  <c r="AB26" i="1"/>
  <c r="AB25" i="1"/>
  <c r="AB23" i="1"/>
  <c r="AB22" i="1"/>
  <c r="AB21" i="1"/>
  <c r="AB61" i="1"/>
  <c r="AB60" i="1"/>
  <c r="AB59" i="1"/>
  <c r="AB56" i="1"/>
  <c r="AB54" i="1"/>
  <c r="AB53" i="1"/>
  <c r="AB52" i="1"/>
  <c r="AB51" i="1"/>
  <c r="AB50" i="1"/>
  <c r="AB48" i="1"/>
  <c r="AB49" i="1"/>
  <c r="AB45" i="1"/>
  <c r="AB44" i="1"/>
  <c r="AB42" i="1"/>
  <c r="AB40" i="1"/>
  <c r="AB37" i="1"/>
  <c r="AB31" i="1"/>
  <c r="AB24" i="1"/>
  <c r="AK166" i="1"/>
  <c r="AJ199" i="1"/>
  <c r="AK145" i="1"/>
  <c r="AJ171" i="1"/>
  <c r="AJ157" i="1"/>
  <c r="AK154" i="1"/>
  <c r="AK106" i="1"/>
  <c r="AK176" i="1"/>
  <c r="AJ173" i="1"/>
  <c r="AJ169" i="1"/>
  <c r="AJ197" i="1"/>
  <c r="AK188" i="1"/>
  <c r="AK209" i="1"/>
  <c r="AJ211" i="1"/>
  <c r="AJ192" i="1"/>
  <c r="AK189" i="1"/>
  <c r="AK184" i="1"/>
  <c r="AK177" i="1"/>
  <c r="AJ137" i="1"/>
  <c r="AK134" i="1"/>
  <c r="AJ208" i="1"/>
  <c r="AK205" i="1"/>
  <c r="AK200" i="1"/>
  <c r="AJ195" i="1"/>
  <c r="AJ193" i="1"/>
  <c r="AJ183" i="1"/>
  <c r="AJ181" i="1"/>
  <c r="AK174" i="1"/>
  <c r="AK161" i="1"/>
  <c r="AJ153" i="1"/>
  <c r="AK150" i="1"/>
  <c r="AJ141" i="1"/>
  <c r="AK138" i="1"/>
  <c r="AK204" i="1"/>
  <c r="AJ179" i="1"/>
  <c r="AJ168" i="1"/>
  <c r="AJ203" i="1"/>
  <c r="AJ201" i="1"/>
  <c r="AJ196" i="1"/>
  <c r="AJ187" i="1"/>
  <c r="AJ185" i="1"/>
  <c r="AJ180" i="1"/>
  <c r="AK178" i="1"/>
  <c r="AJ175" i="1"/>
  <c r="AJ165" i="1"/>
  <c r="AK162" i="1"/>
  <c r="AJ149" i="1"/>
  <c r="AK146" i="1"/>
  <c r="AK118" i="1"/>
  <c r="AK102" i="1"/>
  <c r="AK101" i="1"/>
  <c r="AJ207" i="1"/>
  <c r="AJ191" i="1"/>
  <c r="AK182" i="1"/>
  <c r="AJ172" i="1"/>
  <c r="AK170" i="1"/>
  <c r="AJ167" i="1"/>
  <c r="AK158" i="1"/>
  <c r="AK142" i="1"/>
  <c r="AJ163" i="1"/>
  <c r="AK163" i="1"/>
  <c r="AJ159" i="1"/>
  <c r="AK159" i="1"/>
  <c r="AJ155" i="1"/>
  <c r="AK155" i="1"/>
  <c r="AJ139" i="1"/>
  <c r="AK139" i="1"/>
  <c r="AJ135" i="1"/>
  <c r="AK135" i="1"/>
  <c r="AJ131" i="1"/>
  <c r="AK131" i="1"/>
  <c r="AJ111" i="1"/>
  <c r="AK111" i="1"/>
  <c r="AJ143" i="1"/>
  <c r="AK143" i="1"/>
  <c r="AK194" i="1"/>
  <c r="AJ151" i="1"/>
  <c r="AK151" i="1"/>
  <c r="AJ147" i="1"/>
  <c r="AK147" i="1"/>
  <c r="AJ119" i="1"/>
  <c r="AK119" i="1"/>
  <c r="AK210" i="1"/>
  <c r="AK206" i="1"/>
  <c r="AK202" i="1"/>
  <c r="AK198" i="1"/>
  <c r="AK190" i="1"/>
  <c r="AK186" i="1"/>
  <c r="AJ164" i="1"/>
  <c r="AJ160" i="1"/>
  <c r="AJ156" i="1"/>
  <c r="AJ152" i="1"/>
  <c r="AJ148" i="1"/>
  <c r="AJ144" i="1"/>
  <c r="AJ140" i="1"/>
  <c r="AJ136" i="1"/>
  <c r="AJ132" i="1"/>
  <c r="AJ88" i="1"/>
  <c r="D16" i="9"/>
  <c r="F16" i="9"/>
  <c r="H16" i="9"/>
  <c r="J16" i="9"/>
  <c r="C16" i="9"/>
  <c r="E16" i="9"/>
  <c r="G16" i="9"/>
  <c r="I16" i="9"/>
  <c r="K16" i="9"/>
  <c r="B16" i="9"/>
  <c r="E7" i="9"/>
  <c r="D7" i="9"/>
  <c r="F7" i="9"/>
  <c r="C7" i="9"/>
  <c r="B7" i="9"/>
  <c r="C26" i="9"/>
  <c r="E23" i="9"/>
  <c r="D26" i="9"/>
  <c r="B26" i="9"/>
  <c r="W11" i="1" l="1"/>
  <c r="X11" i="1" s="1"/>
  <c r="AG11" i="1" s="1"/>
  <c r="AH11" i="1" s="1"/>
  <c r="AL11" i="1" s="1"/>
  <c r="Q12" i="1" s="1"/>
  <c r="R12" i="1" s="1"/>
  <c r="Z11" i="1"/>
  <c r="AI11" i="1"/>
  <c r="W12" i="1"/>
  <c r="Z12" i="1"/>
  <c r="W13" i="1"/>
  <c r="Z13" i="1"/>
  <c r="W14" i="1"/>
  <c r="Z14" i="1"/>
  <c r="W15" i="1"/>
  <c r="Z15" i="1"/>
  <c r="W16" i="1"/>
  <c r="Z16" i="1"/>
  <c r="W18" i="1"/>
  <c r="Z18" i="1"/>
  <c r="W19" i="1"/>
  <c r="Z19" i="1"/>
  <c r="W20" i="1"/>
  <c r="Z20" i="1"/>
  <c r="AJ120" i="1" l="1"/>
  <c r="AK120" i="1"/>
  <c r="AK100" i="1"/>
  <c r="AJ100" i="1"/>
  <c r="AJ128" i="1"/>
  <c r="AK128" i="1"/>
  <c r="AJ129" i="1"/>
  <c r="AK129" i="1"/>
  <c r="AK113" i="1"/>
  <c r="AJ113" i="1"/>
  <c r="AJ130" i="1"/>
  <c r="AK130" i="1"/>
  <c r="AK133" i="1"/>
  <c r="AJ133" i="1"/>
  <c r="AK126" i="1"/>
  <c r="AJ126" i="1"/>
  <c r="AK122" i="1"/>
  <c r="AJ122" i="1"/>
  <c r="AK114" i="1"/>
  <c r="AJ114" i="1"/>
  <c r="AK110" i="1"/>
  <c r="AJ110" i="1"/>
  <c r="AJ98" i="1"/>
  <c r="AK98" i="1"/>
  <c r="AK94" i="1"/>
  <c r="AJ94" i="1"/>
  <c r="AK90" i="1"/>
  <c r="AJ90" i="1"/>
  <c r="AK86" i="1"/>
  <c r="AJ86" i="1"/>
  <c r="AJ127" i="1"/>
  <c r="AK127" i="1"/>
  <c r="AK123" i="1"/>
  <c r="AJ123" i="1"/>
  <c r="AJ115" i="1"/>
  <c r="AK115" i="1"/>
  <c r="AJ107" i="1"/>
  <c r="AK107" i="1"/>
  <c r="AK103" i="1"/>
  <c r="AJ103" i="1"/>
  <c r="AJ99" i="1"/>
  <c r="AK99" i="1"/>
  <c r="AK95" i="1"/>
  <c r="AJ95" i="1"/>
  <c r="AJ91" i="1"/>
  <c r="AK91" i="1"/>
  <c r="AK87" i="1"/>
  <c r="AJ87" i="1"/>
  <c r="AJ83" i="1"/>
  <c r="AK83" i="1"/>
  <c r="AJ124" i="1"/>
  <c r="AK124" i="1"/>
  <c r="AK116" i="1"/>
  <c r="AJ116" i="1"/>
  <c r="AJ112" i="1"/>
  <c r="AK112" i="1"/>
  <c r="AK108" i="1"/>
  <c r="AJ108" i="1"/>
  <c r="AK104" i="1"/>
  <c r="AJ104" i="1"/>
  <c r="AJ96" i="1"/>
  <c r="AK96" i="1"/>
  <c r="AK92" i="1"/>
  <c r="AJ92" i="1"/>
  <c r="AJ84" i="1"/>
  <c r="AK84" i="1"/>
  <c r="AJ11" i="1"/>
  <c r="AK11" i="1"/>
  <c r="AJ125" i="1"/>
  <c r="AK125" i="1"/>
  <c r="AJ121" i="1"/>
  <c r="AK121" i="1"/>
  <c r="AK117" i="1"/>
  <c r="AJ117" i="1"/>
  <c r="AJ109" i="1"/>
  <c r="AK109" i="1"/>
  <c r="AJ105" i="1"/>
  <c r="AK105" i="1"/>
  <c r="AJ97" i="1"/>
  <c r="AK97" i="1"/>
  <c r="AJ93" i="1"/>
  <c r="AK93" i="1"/>
  <c r="AK89" i="1"/>
  <c r="AJ89" i="1"/>
  <c r="AK85" i="1"/>
  <c r="AJ85" i="1"/>
  <c r="AB11" i="1"/>
  <c r="AB15" i="1"/>
  <c r="AB19" i="1"/>
  <c r="AB20" i="1"/>
  <c r="AB13" i="1"/>
  <c r="AB18" i="1"/>
  <c r="AB16" i="1"/>
  <c r="AB12" i="1"/>
  <c r="AB14" i="1"/>
  <c r="X12" i="1"/>
  <c r="AG12" i="1" s="1"/>
  <c r="AH12" i="1" s="1"/>
  <c r="AL12" i="1" s="1"/>
  <c r="Q13" i="1" s="1"/>
  <c r="R13" i="1" s="1"/>
  <c r="X13" i="1" s="1"/>
  <c r="AG13" i="1" l="1"/>
  <c r="AH13" i="1" s="1"/>
  <c r="AL13" i="1" s="1"/>
  <c r="Q14" i="1" s="1"/>
  <c r="R14" i="1" s="1"/>
  <c r="X14" i="1" s="1"/>
  <c r="AG14" i="1" s="1"/>
  <c r="AK12" i="1"/>
  <c r="AJ12" i="1"/>
  <c r="AJ13" i="1"/>
  <c r="AK13" i="1"/>
  <c r="AA11" i="1"/>
  <c r="AA13" i="1"/>
  <c r="AA12" i="1"/>
  <c r="Z17" i="1"/>
  <c r="W17" i="1"/>
  <c r="AH14" i="1" l="1"/>
  <c r="AJ14" i="1"/>
  <c r="AK14" i="1"/>
  <c r="AA14" i="1"/>
  <c r="AL14" i="1"/>
  <c r="Q15" i="1" s="1"/>
  <c r="AB17" i="1"/>
  <c r="R15" i="1" l="1"/>
  <c r="X15" i="1" s="1"/>
  <c r="AA15" i="1" s="1"/>
  <c r="AG15" i="1" s="1"/>
  <c r="E4" i="1"/>
  <c r="I4" i="1" s="1"/>
  <c r="AH15" i="1" l="1"/>
  <c r="AL15" i="1" s="1"/>
  <c r="Q16" i="1" s="1"/>
  <c r="AK15" i="1"/>
  <c r="AJ15" i="1"/>
  <c r="M4" i="2"/>
  <c r="K4" i="2"/>
  <c r="R16" i="1" l="1"/>
  <c r="X16" i="1" s="1"/>
  <c r="AA16" i="1" s="1"/>
  <c r="AG16" i="1" s="1"/>
  <c r="B77" i="2"/>
  <c r="B78" i="2"/>
  <c r="B79" i="2"/>
  <c r="B80" i="2"/>
  <c r="C81" i="2"/>
  <c r="B82" i="2"/>
  <c r="B83" i="2"/>
  <c r="B84" i="2"/>
  <c r="C85" i="2"/>
  <c r="B86" i="2"/>
  <c r="B87" i="2"/>
  <c r="B88" i="2"/>
  <c r="B89" i="2"/>
  <c r="C91" i="2"/>
  <c r="B92" i="2"/>
  <c r="C93" i="2"/>
  <c r="B95" i="2"/>
  <c r="B96" i="2"/>
  <c r="B97" i="2"/>
  <c r="B99" i="2"/>
  <c r="C100" i="2"/>
  <c r="B101" i="2"/>
  <c r="B102" i="2"/>
  <c r="B103" i="2"/>
  <c r="B104" i="2"/>
  <c r="B105" i="2"/>
  <c r="B106" i="2"/>
  <c r="B107" i="2"/>
  <c r="B108" i="2"/>
  <c r="B109" i="2"/>
  <c r="B110" i="2"/>
  <c r="C111" i="2"/>
  <c r="C112" i="2"/>
  <c r="B113" i="2"/>
  <c r="B115" i="2"/>
  <c r="B116" i="2"/>
  <c r="B117" i="2"/>
  <c r="B119" i="2"/>
  <c r="B121" i="2"/>
  <c r="B122" i="2"/>
  <c r="B123" i="2"/>
  <c r="B124" i="2"/>
  <c r="B125" i="2"/>
  <c r="B126" i="2"/>
  <c r="C127" i="2"/>
  <c r="C128" i="2"/>
  <c r="B129" i="2"/>
  <c r="B131" i="2"/>
  <c r="B133" i="2"/>
  <c r="C134" i="2"/>
  <c r="B135" i="2"/>
  <c r="C137" i="2"/>
  <c r="B138" i="2"/>
  <c r="B139" i="2"/>
  <c r="B140" i="2"/>
  <c r="B141" i="2"/>
  <c r="B142" i="2"/>
  <c r="B143" i="2"/>
  <c r="B144" i="2"/>
  <c r="B145" i="2"/>
  <c r="B146" i="2"/>
  <c r="B147" i="2"/>
  <c r="C148" i="2"/>
  <c r="B149" i="2"/>
  <c r="C150" i="2"/>
  <c r="C151" i="2"/>
  <c r="C152" i="2"/>
  <c r="B153" i="2"/>
  <c r="B154" i="2"/>
  <c r="B155" i="2"/>
  <c r="B156" i="2"/>
  <c r="B157" i="2"/>
  <c r="C158" i="2"/>
  <c r="C159" i="2"/>
  <c r="B160" i="2"/>
  <c r="C161" i="2"/>
  <c r="B163" i="2"/>
  <c r="B164" i="2"/>
  <c r="B165" i="2"/>
  <c r="C166" i="2"/>
  <c r="B167" i="2"/>
  <c r="B169" i="2"/>
  <c r="B170" i="2"/>
  <c r="B171" i="2"/>
  <c r="B172" i="2"/>
  <c r="B173" i="2"/>
  <c r="B174" i="2"/>
  <c r="C175" i="2"/>
  <c r="B176" i="2"/>
  <c r="B177" i="2"/>
  <c r="B179" i="2"/>
  <c r="B181" i="2"/>
  <c r="B183" i="2"/>
  <c r="C185" i="2"/>
  <c r="B187" i="2"/>
  <c r="C188" i="2"/>
  <c r="B189" i="2"/>
  <c r="B190" i="2"/>
  <c r="B191" i="2"/>
  <c r="B192" i="2"/>
  <c r="C193" i="2"/>
  <c r="B194" i="2"/>
  <c r="B195" i="2"/>
  <c r="B196" i="2"/>
  <c r="B197" i="2"/>
  <c r="C199" i="2"/>
  <c r="C201" i="2"/>
  <c r="B203" i="2"/>
  <c r="C204" i="2"/>
  <c r="D35" i="2"/>
  <c r="E35" i="2"/>
  <c r="D42" i="2"/>
  <c r="E42" i="2"/>
  <c r="D48" i="2"/>
  <c r="E48" i="2"/>
  <c r="D54" i="2"/>
  <c r="E54" i="2"/>
  <c r="D59" i="2"/>
  <c r="E59" i="2"/>
  <c r="D61" i="2"/>
  <c r="E61" i="2"/>
  <c r="D62" i="2"/>
  <c r="E62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AH16" i="1" l="1"/>
  <c r="AL16" i="1" s="1"/>
  <c r="Q17" i="1" s="1"/>
  <c r="AJ16" i="1"/>
  <c r="AK16" i="1"/>
  <c r="AL17" i="1"/>
  <c r="Q18" i="1" s="1"/>
  <c r="R17" i="1"/>
  <c r="X17" i="1" s="1"/>
  <c r="B185" i="2"/>
  <c r="C145" i="2"/>
  <c r="C133" i="2"/>
  <c r="C113" i="2"/>
  <c r="C181" i="2"/>
  <c r="C109" i="2"/>
  <c r="B193" i="2"/>
  <c r="C173" i="2"/>
  <c r="C129" i="2"/>
  <c r="C189" i="2"/>
  <c r="C121" i="2"/>
  <c r="C141" i="2"/>
  <c r="B81" i="2"/>
  <c r="B93" i="2"/>
  <c r="C177" i="2"/>
  <c r="B161" i="2"/>
  <c r="C125" i="2"/>
  <c r="C153" i="2"/>
  <c r="B137" i="2"/>
  <c r="B85" i="2"/>
  <c r="B91" i="2"/>
  <c r="B199" i="2"/>
  <c r="C171" i="2"/>
  <c r="B111" i="2"/>
  <c r="C115" i="2"/>
  <c r="C168" i="2"/>
  <c r="B168" i="2"/>
  <c r="C123" i="2"/>
  <c r="B159" i="2"/>
  <c r="C103" i="2"/>
  <c r="C195" i="2"/>
  <c r="C165" i="2"/>
  <c r="C99" i="2"/>
  <c r="C203" i="2"/>
  <c r="C157" i="2"/>
  <c r="C83" i="2"/>
  <c r="C147" i="2"/>
  <c r="C131" i="2"/>
  <c r="C101" i="2"/>
  <c r="C97" i="2"/>
  <c r="C139" i="2"/>
  <c r="B180" i="2"/>
  <c r="C180" i="2"/>
  <c r="C136" i="2"/>
  <c r="B136" i="2"/>
  <c r="C179" i="2"/>
  <c r="C169" i="2"/>
  <c r="C163" i="2"/>
  <c r="C77" i="2"/>
  <c r="B201" i="2"/>
  <c r="C107" i="2"/>
  <c r="C89" i="2"/>
  <c r="C182" i="2"/>
  <c r="B182" i="2"/>
  <c r="B132" i="2"/>
  <c r="C132" i="2"/>
  <c r="C118" i="2"/>
  <c r="B118" i="2"/>
  <c r="C184" i="2"/>
  <c r="B184" i="2"/>
  <c r="C120" i="2"/>
  <c r="B120" i="2"/>
  <c r="B94" i="2"/>
  <c r="C94" i="2"/>
  <c r="C155" i="2"/>
  <c r="C149" i="2"/>
  <c r="C105" i="2"/>
  <c r="C197" i="2"/>
  <c r="C187" i="2"/>
  <c r="B134" i="2"/>
  <c r="C117" i="2"/>
  <c r="B175" i="2"/>
  <c r="B166" i="2"/>
  <c r="C96" i="2"/>
  <c r="B90" i="2"/>
  <c r="C90" i="2"/>
  <c r="B178" i="2"/>
  <c r="C178" i="2"/>
  <c r="B162" i="2"/>
  <c r="C162" i="2"/>
  <c r="B130" i="2"/>
  <c r="C130" i="2"/>
  <c r="C98" i="2"/>
  <c r="B98" i="2"/>
  <c r="B114" i="2"/>
  <c r="C114" i="2"/>
  <c r="C164" i="2"/>
  <c r="C116" i="2"/>
  <c r="B151" i="2"/>
  <c r="C143" i="2"/>
  <c r="B127" i="2"/>
  <c r="C186" i="2"/>
  <c r="B186" i="2"/>
  <c r="C202" i="2"/>
  <c r="B202" i="2"/>
  <c r="B198" i="2"/>
  <c r="C198" i="2"/>
  <c r="B200" i="2"/>
  <c r="C200" i="2"/>
  <c r="B100" i="2"/>
  <c r="C95" i="2"/>
  <c r="C87" i="2"/>
  <c r="C79" i="2"/>
  <c r="C191" i="2"/>
  <c r="C183" i="2"/>
  <c r="C167" i="2"/>
  <c r="C135" i="2"/>
  <c r="C119" i="2"/>
  <c r="C92" i="2"/>
  <c r="B204" i="2"/>
  <c r="B188" i="2"/>
  <c r="C194" i="2"/>
  <c r="C174" i="2"/>
  <c r="C160" i="2"/>
  <c r="C154" i="2"/>
  <c r="C146" i="2"/>
  <c r="C88" i="2"/>
  <c r="C84" i="2"/>
  <c r="C82" i="2"/>
  <c r="C80" i="2"/>
  <c r="C196" i="2"/>
  <c r="C176" i="2"/>
  <c r="C156" i="2"/>
  <c r="C126" i="2"/>
  <c r="C110" i="2"/>
  <c r="C86" i="2"/>
  <c r="C78" i="2"/>
  <c r="C192" i="2"/>
  <c r="C190" i="2"/>
  <c r="C172" i="2"/>
  <c r="C170" i="2"/>
  <c r="B158" i="2"/>
  <c r="B152" i="2"/>
  <c r="B150" i="2"/>
  <c r="B148" i="2"/>
  <c r="C144" i="2"/>
  <c r="C142" i="2"/>
  <c r="C140" i="2"/>
  <c r="C138" i="2"/>
  <c r="B128" i="2"/>
  <c r="C124" i="2"/>
  <c r="C122" i="2"/>
  <c r="B112" i="2"/>
  <c r="C108" i="2"/>
  <c r="C106" i="2"/>
  <c r="C104" i="2"/>
  <c r="C102" i="2"/>
  <c r="AJ17" i="1" l="1"/>
  <c r="AK17" i="1"/>
  <c r="AA17" i="1"/>
  <c r="R18" i="1"/>
  <c r="X18" i="1" s="1"/>
  <c r="D31" i="2"/>
  <c r="E31" i="2"/>
  <c r="D33" i="2"/>
  <c r="E33" i="2"/>
  <c r="BI10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17" i="1"/>
  <c r="BI12" i="1"/>
  <c r="BI13" i="1"/>
  <c r="BI14" i="1"/>
  <c r="BI15" i="1"/>
  <c r="BI16" i="1"/>
  <c r="BI11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40" i="1"/>
  <c r="BI72" i="1"/>
  <c r="BI73" i="1"/>
  <c r="BI74" i="1"/>
  <c r="BI75" i="1"/>
  <c r="BI76" i="1"/>
  <c r="BI77" i="1"/>
  <c r="BI78" i="1"/>
  <c r="BI79" i="1"/>
  <c r="BI80" i="1"/>
  <c r="BI81" i="1"/>
  <c r="BI71" i="1"/>
  <c r="AA18" i="1" l="1"/>
  <c r="AG18" i="1"/>
  <c r="L2" i="2"/>
  <c r="L4" i="2" s="1"/>
  <c r="L3" i="2"/>
  <c r="AH18" i="1" l="1"/>
  <c r="AL18" i="1" s="1"/>
  <c r="Q19" i="1" s="1"/>
  <c r="AK18" i="1"/>
  <c r="AJ18" i="1"/>
  <c r="E6" i="2"/>
  <c r="E7" i="2"/>
  <c r="E8" i="2"/>
  <c r="E9" i="2"/>
  <c r="E10" i="2"/>
  <c r="E11" i="2"/>
  <c r="E12" i="2"/>
  <c r="E13" i="2"/>
  <c r="E14" i="2"/>
  <c r="E15" i="2"/>
  <c r="E16" i="2"/>
  <c r="E17" i="2"/>
  <c r="E19" i="2"/>
  <c r="E20" i="2"/>
  <c r="E21" i="2"/>
  <c r="E22" i="2"/>
  <c r="E5" i="2"/>
  <c r="D6" i="2"/>
  <c r="D7" i="2"/>
  <c r="D8" i="2"/>
  <c r="D9" i="2"/>
  <c r="D10" i="2"/>
  <c r="D11" i="2"/>
  <c r="D12" i="2"/>
  <c r="D13" i="2"/>
  <c r="D14" i="2"/>
  <c r="D15" i="2"/>
  <c r="D16" i="2"/>
  <c r="D17" i="2"/>
  <c r="D19" i="2"/>
  <c r="D20" i="2"/>
  <c r="D21" i="2"/>
  <c r="D22" i="2"/>
  <c r="D5" i="2"/>
  <c r="R19" i="1" l="1"/>
  <c r="X19" i="1" s="1"/>
  <c r="AL19" i="1"/>
  <c r="Q20" i="1" s="1"/>
  <c r="AL20" i="1" l="1"/>
  <c r="Q21" i="1" s="1"/>
  <c r="R20" i="1"/>
  <c r="X20" i="1" s="1"/>
  <c r="AA19" i="1"/>
  <c r="AJ19" i="1"/>
  <c r="AK19" i="1"/>
  <c r="AA20" i="1" l="1"/>
  <c r="AJ20" i="1"/>
  <c r="AK20" i="1"/>
  <c r="R21" i="1"/>
  <c r="X21" i="1" s="1"/>
  <c r="AL21" i="1"/>
  <c r="Q22" i="1" s="1"/>
  <c r="C8" i="2"/>
  <c r="AL22" i="1" l="1"/>
  <c r="Q23" i="1" s="1"/>
  <c r="R22" i="1"/>
  <c r="X22" i="1" s="1"/>
  <c r="AA21" i="1"/>
  <c r="AK21" i="1"/>
  <c r="AJ21" i="1"/>
  <c r="B8" i="2"/>
  <c r="B5" i="2"/>
  <c r="C5" i="2"/>
  <c r="AA22" i="1" l="1"/>
  <c r="AK22" i="1"/>
  <c r="AJ22" i="1"/>
  <c r="AL23" i="1"/>
  <c r="Q24" i="1" s="1"/>
  <c r="R23" i="1"/>
  <c r="X23" i="1" s="1"/>
  <c r="N2" i="2"/>
  <c r="N3" i="2"/>
  <c r="C9" i="2"/>
  <c r="B9" i="2"/>
  <c r="AA23" i="1" l="1"/>
  <c r="AK23" i="1"/>
  <c r="AJ23" i="1"/>
  <c r="R24" i="1"/>
  <c r="X24" i="1" s="1"/>
  <c r="N4" i="2"/>
  <c r="B11" i="2"/>
  <c r="C11" i="2"/>
  <c r="C17" i="2"/>
  <c r="B17" i="2"/>
  <c r="B7" i="2"/>
  <c r="C7" i="2"/>
  <c r="C10" i="2"/>
  <c r="B10" i="2"/>
  <c r="B15" i="2"/>
  <c r="C15" i="2"/>
  <c r="C14" i="2"/>
  <c r="B14" i="2"/>
  <c r="C16" i="2"/>
  <c r="B16" i="2"/>
  <c r="AG24" i="1" l="1"/>
  <c r="AA24" i="1"/>
  <c r="C6" i="2"/>
  <c r="B6" i="2"/>
  <c r="AH24" i="1" l="1"/>
  <c r="AL24" i="1" s="1"/>
  <c r="Q25" i="1" s="1"/>
  <c r="AK24" i="1"/>
  <c r="AJ24" i="1"/>
  <c r="E18" i="2"/>
  <c r="D18" i="2"/>
  <c r="H4" i="2"/>
  <c r="I4" i="2"/>
  <c r="J2" i="2"/>
  <c r="H2" i="2"/>
  <c r="J4" i="2"/>
  <c r="I2" i="2"/>
  <c r="C12" i="2"/>
  <c r="B12" i="2"/>
  <c r="C13" i="2"/>
  <c r="B13" i="2"/>
  <c r="C18" i="2" l="1"/>
  <c r="B18" i="2"/>
  <c r="AL25" i="1"/>
  <c r="Q26" i="1" s="1"/>
  <c r="R25" i="1"/>
  <c r="X25" i="1" s="1"/>
  <c r="H3" i="2"/>
  <c r="I3" i="2"/>
  <c r="J3" i="2"/>
  <c r="AA25" i="1" l="1"/>
  <c r="AK25" i="1"/>
  <c r="AJ25" i="1"/>
  <c r="AL26" i="1"/>
  <c r="Q27" i="1" s="1"/>
  <c r="R26" i="1"/>
  <c r="X26" i="1" s="1"/>
  <c r="A5" i="2"/>
  <c r="A6" i="2"/>
  <c r="AA26" i="1" l="1"/>
  <c r="AK26" i="1"/>
  <c r="AJ26" i="1"/>
  <c r="AL27" i="1"/>
  <c r="Q28" i="1" s="1"/>
  <c r="R27" i="1"/>
  <c r="X27" i="1" s="1"/>
  <c r="B19" i="2"/>
  <c r="C19" i="2"/>
  <c r="A7" i="2"/>
  <c r="AA27" i="1" l="1"/>
  <c r="AJ27" i="1"/>
  <c r="AK27" i="1"/>
  <c r="AL28" i="1"/>
  <c r="Q29" i="1" s="1"/>
  <c r="R28" i="1"/>
  <c r="X28" i="1" s="1"/>
  <c r="C20" i="2"/>
  <c r="B20" i="2"/>
  <c r="F4" i="1"/>
  <c r="A8" i="2"/>
  <c r="AA28" i="1" l="1"/>
  <c r="AK28" i="1"/>
  <c r="AJ28" i="1"/>
  <c r="R29" i="1"/>
  <c r="X29" i="1" s="1"/>
  <c r="AA29" i="1" s="1"/>
  <c r="AG29" i="1" s="1"/>
  <c r="C21" i="2"/>
  <c r="B21" i="2"/>
  <c r="A9" i="2"/>
  <c r="AH29" i="1" l="1"/>
  <c r="AL29" i="1" s="1"/>
  <c r="Q30" i="1" s="1"/>
  <c r="AJ29" i="1"/>
  <c r="AK29" i="1"/>
  <c r="E23" i="2"/>
  <c r="D23" i="2"/>
  <c r="C22" i="2"/>
  <c r="B22" i="2"/>
  <c r="A10" i="2"/>
  <c r="B23" i="2" l="1"/>
  <c r="C23" i="2"/>
  <c r="R30" i="1"/>
  <c r="X30" i="1" s="1"/>
  <c r="AA30" i="1" s="1"/>
  <c r="AG30" i="1" s="1"/>
  <c r="A11" i="2"/>
  <c r="AH30" i="1" l="1"/>
  <c r="AL30" i="1" s="1"/>
  <c r="Q31" i="1" s="1"/>
  <c r="R31" i="1" s="1"/>
  <c r="X31" i="1" s="1"/>
  <c r="AK30" i="1"/>
  <c r="AJ30" i="1"/>
  <c r="E24" i="2"/>
  <c r="D24" i="2"/>
  <c r="A12" i="2"/>
  <c r="C24" i="2" l="1"/>
  <c r="B24" i="2"/>
  <c r="AG31" i="1"/>
  <c r="AA31" i="1"/>
  <c r="A13" i="2"/>
  <c r="AH31" i="1" l="1"/>
  <c r="AL31" i="1" s="1"/>
  <c r="Q32" i="1" s="1"/>
  <c r="R32" i="1" s="1"/>
  <c r="X32" i="1" s="1"/>
  <c r="AK31" i="1"/>
  <c r="AJ31" i="1"/>
  <c r="E25" i="2"/>
  <c r="D25" i="2"/>
  <c r="A14" i="2"/>
  <c r="C25" i="2" l="1"/>
  <c r="B25" i="2"/>
  <c r="AG32" i="1"/>
  <c r="AA32" i="1"/>
  <c r="A15" i="2"/>
  <c r="AH32" i="1" l="1"/>
  <c r="AL32" i="1" s="1"/>
  <c r="Q33" i="1" s="1"/>
  <c r="AJ32" i="1"/>
  <c r="AK32" i="1"/>
  <c r="E26" i="2"/>
  <c r="D26" i="2"/>
  <c r="A16" i="2"/>
  <c r="B26" i="2" l="1"/>
  <c r="C26" i="2"/>
  <c r="R33" i="1"/>
  <c r="X33" i="1" s="1"/>
  <c r="A17" i="2"/>
  <c r="AG33" i="1" l="1"/>
  <c r="AA33" i="1"/>
  <c r="A18" i="2"/>
  <c r="AH33" i="1" l="1"/>
  <c r="AL33" i="1" s="1"/>
  <c r="Q34" i="1" s="1"/>
  <c r="AJ33" i="1"/>
  <c r="AK33" i="1"/>
  <c r="E27" i="2"/>
  <c r="D27" i="2"/>
  <c r="A19" i="2"/>
  <c r="C27" i="2" l="1"/>
  <c r="B27" i="2"/>
  <c r="R34" i="1"/>
  <c r="X34" i="1" s="1"/>
  <c r="A20" i="2"/>
  <c r="AG34" i="1" l="1"/>
  <c r="AA34" i="1"/>
  <c r="A21" i="2"/>
  <c r="AH34" i="1" l="1"/>
  <c r="AL34" i="1" s="1"/>
  <c r="Q35" i="1" s="1"/>
  <c r="R35" i="1" s="1"/>
  <c r="X35" i="1" s="1"/>
  <c r="AJ34" i="1"/>
  <c r="AK34" i="1"/>
  <c r="D28" i="2"/>
  <c r="E28" i="2"/>
  <c r="A22" i="2"/>
  <c r="B28" i="2" l="1"/>
  <c r="C28" i="2"/>
  <c r="AG35" i="1"/>
  <c r="AA35" i="1"/>
  <c r="A23" i="2"/>
  <c r="AH35" i="1" l="1"/>
  <c r="AL35" i="1" s="1"/>
  <c r="Q36" i="1" s="1"/>
  <c r="R36" i="1" s="1"/>
  <c r="X36" i="1" s="1"/>
  <c r="AA36" i="1" s="1"/>
  <c r="AG36" i="1" s="1"/>
  <c r="AJ35" i="1"/>
  <c r="AK35" i="1"/>
  <c r="D29" i="2"/>
  <c r="E29" i="2"/>
  <c r="A24" i="2"/>
  <c r="B29" i="2" l="1"/>
  <c r="C29" i="2"/>
  <c r="AH36" i="1"/>
  <c r="AL36" i="1" s="1"/>
  <c r="Q37" i="1" s="1"/>
  <c r="AK36" i="1"/>
  <c r="AJ36" i="1"/>
  <c r="D30" i="2"/>
  <c r="E30" i="2"/>
  <c r="A25" i="2"/>
  <c r="B30" i="2" l="1"/>
  <c r="C30" i="2"/>
  <c r="R37" i="1"/>
  <c r="X37" i="1" s="1"/>
  <c r="AL37" i="1"/>
  <c r="Q38" i="1" s="1"/>
  <c r="R38" i="1" s="1"/>
  <c r="X38" i="1" s="1"/>
  <c r="A26" i="2"/>
  <c r="AG38" i="1" l="1"/>
  <c r="AA38" i="1"/>
  <c r="AK37" i="1"/>
  <c r="AA37" i="1"/>
  <c r="AJ37" i="1"/>
  <c r="A27" i="2"/>
  <c r="B31" i="2" l="1"/>
  <c r="C31" i="2"/>
  <c r="AH38" i="1"/>
  <c r="AL38" i="1" s="1"/>
  <c r="Q39" i="1" s="1"/>
  <c r="AK38" i="1"/>
  <c r="AJ38" i="1"/>
  <c r="D32" i="2"/>
  <c r="E32" i="2"/>
  <c r="A28" i="2"/>
  <c r="A29" i="2"/>
  <c r="C32" i="2" l="1"/>
  <c r="B32" i="2"/>
  <c r="R39" i="1"/>
  <c r="X39" i="1" s="1"/>
  <c r="AL39" i="1"/>
  <c r="Q40" i="1" s="1"/>
  <c r="A30" i="2"/>
  <c r="R40" i="1" l="1"/>
  <c r="X40" i="1" s="1"/>
  <c r="AK39" i="1"/>
  <c r="AA39" i="1"/>
  <c r="AJ39" i="1"/>
  <c r="A31" i="2"/>
  <c r="B33" i="2" l="1"/>
  <c r="C33" i="2"/>
  <c r="AG40" i="1"/>
  <c r="AA40" i="1"/>
  <c r="A32" i="2"/>
  <c r="AH40" i="1" l="1"/>
  <c r="AL40" i="1" s="1"/>
  <c r="Q41" i="1" s="1"/>
  <c r="AK40" i="1"/>
  <c r="AJ40" i="1"/>
  <c r="D34" i="2"/>
  <c r="E34" i="2"/>
  <c r="A33" i="2"/>
  <c r="C34" i="2" l="1"/>
  <c r="B34" i="2"/>
  <c r="AL41" i="1"/>
  <c r="Q42" i="1" s="1"/>
  <c r="R41" i="1"/>
  <c r="X41" i="1" s="1"/>
  <c r="A34" i="2"/>
  <c r="AA41" i="1" l="1"/>
  <c r="AJ41" i="1"/>
  <c r="AK41" i="1"/>
  <c r="R42" i="1"/>
  <c r="X42" i="1" s="1"/>
  <c r="A35" i="2"/>
  <c r="AG42" i="1" l="1"/>
  <c r="AA42" i="1"/>
  <c r="C35" i="2"/>
  <c r="B35" i="2"/>
  <c r="A36" i="2"/>
  <c r="AH42" i="1" l="1"/>
  <c r="AL42" i="1" s="1"/>
  <c r="Q43" i="1" s="1"/>
  <c r="AK42" i="1"/>
  <c r="AJ42" i="1"/>
  <c r="D36" i="2"/>
  <c r="E36" i="2"/>
  <c r="A37" i="2"/>
  <c r="B36" i="2" l="1"/>
  <c r="C36" i="2"/>
  <c r="R43" i="1"/>
  <c r="X43" i="1" s="1"/>
  <c r="A38" i="2"/>
  <c r="AG43" i="1" l="1"/>
  <c r="AA43" i="1"/>
  <c r="A39" i="2"/>
  <c r="AH43" i="1" l="1"/>
  <c r="AL43" i="1" s="1"/>
  <c r="Q44" i="1" s="1"/>
  <c r="R44" i="1" s="1"/>
  <c r="X44" i="1" s="1"/>
  <c r="AA44" i="1" s="1"/>
  <c r="AG44" i="1" s="1"/>
  <c r="AJ43" i="1"/>
  <c r="AK43" i="1"/>
  <c r="D37" i="2"/>
  <c r="E37" i="2"/>
  <c r="A40" i="2"/>
  <c r="C37" i="2" l="1"/>
  <c r="B37" i="2"/>
  <c r="AH44" i="1"/>
  <c r="AL44" i="1" s="1"/>
  <c r="Q45" i="1" s="1"/>
  <c r="AK44" i="1"/>
  <c r="AJ44" i="1"/>
  <c r="D38" i="2"/>
  <c r="E38" i="2"/>
  <c r="A41" i="2"/>
  <c r="B38" i="2" l="1"/>
  <c r="C38" i="2"/>
  <c r="R45" i="1"/>
  <c r="X45" i="1" s="1"/>
  <c r="A42" i="2"/>
  <c r="AG45" i="1" l="1"/>
  <c r="AA45" i="1"/>
  <c r="A43" i="2"/>
  <c r="AH45" i="1" l="1"/>
  <c r="AL45" i="1" s="1"/>
  <c r="Q46" i="1" s="1"/>
  <c r="AJ45" i="1"/>
  <c r="AK45" i="1"/>
  <c r="D39" i="2"/>
  <c r="E39" i="2"/>
  <c r="A44" i="2"/>
  <c r="C39" i="2" l="1"/>
  <c r="B39" i="2"/>
  <c r="R46" i="1"/>
  <c r="X46" i="1" s="1"/>
  <c r="AA46" i="1" s="1"/>
  <c r="AG46" i="1" s="1"/>
  <c r="A45" i="2"/>
  <c r="AH46" i="1" l="1"/>
  <c r="AL46" i="1" s="1"/>
  <c r="Q47" i="1" s="1"/>
  <c r="R47" i="1" s="1"/>
  <c r="X47" i="1" s="1"/>
  <c r="AK46" i="1"/>
  <c r="AJ46" i="1"/>
  <c r="D40" i="2"/>
  <c r="E40" i="2"/>
  <c r="A46" i="2"/>
  <c r="B40" i="2" l="1"/>
  <c r="C40" i="2"/>
  <c r="AG47" i="1"/>
  <c r="AA47" i="1"/>
  <c r="A47" i="2"/>
  <c r="AH47" i="1" l="1"/>
  <c r="AL47" i="1" s="1"/>
  <c r="Q48" i="1" s="1"/>
  <c r="AK47" i="1"/>
  <c r="AJ47" i="1"/>
  <c r="D41" i="2"/>
  <c r="E41" i="2"/>
  <c r="A48" i="2"/>
  <c r="C41" i="2" l="1"/>
  <c r="B41" i="2"/>
  <c r="AL48" i="1"/>
  <c r="Q49" i="1" s="1"/>
  <c r="R48" i="1"/>
  <c r="X48" i="1" s="1"/>
  <c r="A49" i="2"/>
  <c r="AA48" i="1" l="1"/>
  <c r="AK48" i="1"/>
  <c r="AJ48" i="1"/>
  <c r="R49" i="1"/>
  <c r="X49" i="1" s="1"/>
  <c r="AA49" i="1" s="1"/>
  <c r="AG49" i="1" s="1"/>
  <c r="A50" i="2"/>
  <c r="AH49" i="1" l="1"/>
  <c r="AL49" i="1" s="1"/>
  <c r="Q50" i="1" s="1"/>
  <c r="AJ49" i="1"/>
  <c r="AK49" i="1"/>
  <c r="D43" i="2"/>
  <c r="E43" i="2"/>
  <c r="B42" i="2"/>
  <c r="C42" i="2"/>
  <c r="A51" i="2"/>
  <c r="B43" i="2" l="1"/>
  <c r="C43" i="2"/>
  <c r="R50" i="1"/>
  <c r="X50" i="1" s="1"/>
  <c r="A52" i="2"/>
  <c r="AG50" i="1" l="1"/>
  <c r="AA50" i="1"/>
  <c r="A53" i="2"/>
  <c r="AH50" i="1" l="1"/>
  <c r="AL50" i="1" s="1"/>
  <c r="Q51" i="1" s="1"/>
  <c r="AK50" i="1"/>
  <c r="AJ50" i="1"/>
  <c r="D44" i="2"/>
  <c r="E44" i="2"/>
  <c r="A54" i="2"/>
  <c r="B44" i="2" l="1"/>
  <c r="C44" i="2"/>
  <c r="R51" i="1"/>
  <c r="X51" i="1" s="1"/>
  <c r="AA51" i="1" s="1"/>
  <c r="AG51" i="1" s="1"/>
  <c r="A55" i="2"/>
  <c r="AH51" i="1" l="1"/>
  <c r="AL51" i="1" s="1"/>
  <c r="Q52" i="1" s="1"/>
  <c r="AJ51" i="1"/>
  <c r="AK51" i="1"/>
  <c r="D45" i="2"/>
  <c r="E45" i="2"/>
  <c r="A56" i="2"/>
  <c r="C45" i="2" l="1"/>
  <c r="B45" i="2"/>
  <c r="R52" i="1"/>
  <c r="X52" i="1" s="1"/>
  <c r="AA52" i="1" s="1"/>
  <c r="AG52" i="1" s="1"/>
  <c r="A57" i="2"/>
  <c r="AH52" i="1" l="1"/>
  <c r="AL52" i="1" s="1"/>
  <c r="Q53" i="1" s="1"/>
  <c r="AJ52" i="1"/>
  <c r="AK52" i="1"/>
  <c r="D46" i="2"/>
  <c r="E46" i="2"/>
  <c r="A58" i="2"/>
  <c r="C46" i="2" l="1"/>
  <c r="B46" i="2"/>
  <c r="R53" i="1"/>
  <c r="X53" i="1" s="1"/>
  <c r="A59" i="2"/>
  <c r="AG53" i="1" l="1"/>
  <c r="AA53" i="1"/>
  <c r="A60" i="2"/>
  <c r="AH53" i="1" l="1"/>
  <c r="AL53" i="1" s="1"/>
  <c r="Q54" i="1" s="1"/>
  <c r="AJ53" i="1"/>
  <c r="AK53" i="1"/>
  <c r="D47" i="2"/>
  <c r="E47" i="2"/>
  <c r="A61" i="2"/>
  <c r="B47" i="2" l="1"/>
  <c r="C47" i="2"/>
  <c r="R54" i="1"/>
  <c r="X54" i="1" s="1"/>
  <c r="AL54" i="1"/>
  <c r="Q55" i="1" s="1"/>
  <c r="A62" i="2"/>
  <c r="R55" i="1" l="1"/>
  <c r="X55" i="1" s="1"/>
  <c r="AA54" i="1"/>
  <c r="AJ54" i="1"/>
  <c r="AK54" i="1"/>
  <c r="A63" i="2"/>
  <c r="B48" i="2" l="1"/>
  <c r="C48" i="2"/>
  <c r="AG55" i="1"/>
  <c r="AA55" i="1"/>
  <c r="A64" i="2"/>
  <c r="AH55" i="1" l="1"/>
  <c r="AL55" i="1" s="1"/>
  <c r="Q56" i="1" s="1"/>
  <c r="AK55" i="1"/>
  <c r="AJ55" i="1"/>
  <c r="D49" i="2"/>
  <c r="E49" i="2"/>
  <c r="A65" i="2"/>
  <c r="B49" i="2" l="1"/>
  <c r="C49" i="2"/>
  <c r="R56" i="1"/>
  <c r="X56" i="1" s="1"/>
  <c r="A66" i="2"/>
  <c r="AG56" i="1" l="1"/>
  <c r="AA56" i="1"/>
  <c r="A67" i="2"/>
  <c r="AH56" i="1" l="1"/>
  <c r="AL56" i="1" s="1"/>
  <c r="Q57" i="1" s="1"/>
  <c r="AK56" i="1"/>
  <c r="AJ56" i="1"/>
  <c r="D50" i="2"/>
  <c r="E50" i="2"/>
  <c r="A68" i="2"/>
  <c r="B50" i="2" l="1"/>
  <c r="C50" i="2"/>
  <c r="R57" i="1"/>
  <c r="X57" i="1" s="1"/>
  <c r="A69" i="2"/>
  <c r="AG57" i="1" l="1"/>
  <c r="AA57" i="1"/>
  <c r="A70" i="2"/>
  <c r="AH57" i="1" l="1"/>
  <c r="AL57" i="1" s="1"/>
  <c r="Q58" i="1" s="1"/>
  <c r="AK57" i="1"/>
  <c r="AJ57" i="1"/>
  <c r="D51" i="2"/>
  <c r="E51" i="2"/>
  <c r="A71" i="2"/>
  <c r="B51" i="2" l="1"/>
  <c r="C51" i="2"/>
  <c r="R58" i="1"/>
  <c r="X58" i="1" s="1"/>
  <c r="A72" i="2"/>
  <c r="AG58" i="1" l="1"/>
  <c r="AA58" i="1"/>
  <c r="A73" i="2"/>
  <c r="AH58" i="1" l="1"/>
  <c r="AL58" i="1" s="1"/>
  <c r="Q59" i="1" s="1"/>
  <c r="AK58" i="1"/>
  <c r="AJ58" i="1"/>
  <c r="D52" i="2"/>
  <c r="E52" i="2"/>
  <c r="A74" i="2"/>
  <c r="C52" i="2" l="1"/>
  <c r="B52" i="2"/>
  <c r="R59" i="1"/>
  <c r="X59" i="1" s="1"/>
  <c r="AA59" i="1" s="1"/>
  <c r="AG59" i="1" s="1"/>
  <c r="A75" i="2"/>
  <c r="AH59" i="1" l="1"/>
  <c r="AL59" i="1" s="1"/>
  <c r="Q60" i="1" s="1"/>
  <c r="AJ59" i="1"/>
  <c r="AK59" i="1"/>
  <c r="D53" i="2"/>
  <c r="E53" i="2"/>
  <c r="A76" i="2"/>
  <c r="C53" i="2" l="1"/>
  <c r="B53" i="2"/>
  <c r="R60" i="1"/>
  <c r="X60" i="1" s="1"/>
  <c r="AL60" i="1"/>
  <c r="Q61" i="1" s="1"/>
  <c r="R61" i="1" s="1"/>
  <c r="X61" i="1" s="1"/>
  <c r="AA61" i="1" s="1"/>
  <c r="AG61" i="1" s="1"/>
  <c r="A77" i="2"/>
  <c r="AH61" i="1" l="1"/>
  <c r="AL61" i="1" s="1"/>
  <c r="Q62" i="1" s="1"/>
  <c r="AJ61" i="1"/>
  <c r="AK61" i="1"/>
  <c r="D55" i="2"/>
  <c r="E55" i="2"/>
  <c r="AA60" i="1"/>
  <c r="AJ60" i="1"/>
  <c r="AK60" i="1"/>
  <c r="A78" i="2"/>
  <c r="B54" i="2" l="1"/>
  <c r="C54" i="2"/>
  <c r="B55" i="2"/>
  <c r="C55" i="2"/>
  <c r="R62" i="1"/>
  <c r="X62" i="1" s="1"/>
  <c r="A79" i="2"/>
  <c r="AG62" i="1" l="1"/>
  <c r="AA62" i="1"/>
  <c r="A80" i="2"/>
  <c r="AH62" i="1" l="1"/>
  <c r="AL62" i="1" s="1"/>
  <c r="Q63" i="1" s="1"/>
  <c r="AK62" i="1"/>
  <c r="AJ62" i="1"/>
  <c r="D56" i="2"/>
  <c r="E56" i="2"/>
  <c r="A81" i="2"/>
  <c r="B56" i="2" l="1"/>
  <c r="C56" i="2"/>
  <c r="R63" i="1"/>
  <c r="X63" i="1" s="1"/>
  <c r="AA63" i="1" s="1"/>
  <c r="AG63" i="1" s="1"/>
  <c r="A82" i="2"/>
  <c r="AH63" i="1" l="1"/>
  <c r="AL63" i="1" s="1"/>
  <c r="Q64" i="1" s="1"/>
  <c r="AK63" i="1"/>
  <c r="AJ63" i="1"/>
  <c r="D57" i="2"/>
  <c r="E57" i="2"/>
  <c r="A83" i="2"/>
  <c r="B57" i="2" l="1"/>
  <c r="C57" i="2"/>
  <c r="R64" i="1"/>
  <c r="X64" i="1" s="1"/>
  <c r="AA64" i="1" s="1"/>
  <c r="AG64" i="1" s="1"/>
  <c r="A84" i="2"/>
  <c r="AH64" i="1" l="1"/>
  <c r="AL64" i="1" s="1"/>
  <c r="Q65" i="1" s="1"/>
  <c r="AK64" i="1"/>
  <c r="AJ64" i="1"/>
  <c r="D58" i="2"/>
  <c r="E58" i="2"/>
  <c r="A85" i="2"/>
  <c r="B58" i="2" l="1"/>
  <c r="C58" i="2"/>
  <c r="AL65" i="1"/>
  <c r="Q66" i="1" s="1"/>
  <c r="R66" i="1" s="1"/>
  <c r="X66" i="1" s="1"/>
  <c r="AA66" i="1" s="1"/>
  <c r="AG66" i="1" s="1"/>
  <c r="R65" i="1"/>
  <c r="X65" i="1" s="1"/>
  <c r="A86" i="2"/>
  <c r="AA65" i="1" l="1"/>
  <c r="AJ65" i="1"/>
  <c r="AK65" i="1"/>
  <c r="AH66" i="1"/>
  <c r="AL66" i="1" s="1"/>
  <c r="Q67" i="1" s="1"/>
  <c r="AJ66" i="1"/>
  <c r="AK66" i="1"/>
  <c r="D60" i="2"/>
  <c r="E60" i="2"/>
  <c r="A87" i="2"/>
  <c r="B60" i="2" l="1"/>
  <c r="C60" i="2"/>
  <c r="AL67" i="1"/>
  <c r="Q68" i="1" s="1"/>
  <c r="R67" i="1"/>
  <c r="X67" i="1" s="1"/>
  <c r="C59" i="2"/>
  <c r="B59" i="2"/>
  <c r="A88" i="2"/>
  <c r="AA67" i="1" l="1"/>
  <c r="AJ67" i="1"/>
  <c r="AK67" i="1"/>
  <c r="AL68" i="1"/>
  <c r="Q69" i="1" s="1"/>
  <c r="R68" i="1"/>
  <c r="X68" i="1" s="1"/>
  <c r="A89" i="2"/>
  <c r="AA68" i="1" l="1"/>
  <c r="AK68" i="1"/>
  <c r="AJ68" i="1"/>
  <c r="R69" i="1"/>
  <c r="X69" i="1" s="1"/>
  <c r="B61" i="2"/>
  <c r="C61" i="2"/>
  <c r="A90" i="2"/>
  <c r="AG69" i="1" l="1"/>
  <c r="AA69" i="1"/>
  <c r="C62" i="2"/>
  <c r="B62" i="2"/>
  <c r="A91" i="2"/>
  <c r="AH69" i="1" l="1"/>
  <c r="AL69" i="1" s="1"/>
  <c r="Q70" i="1" s="1"/>
  <c r="AJ69" i="1"/>
  <c r="AK69" i="1"/>
  <c r="D63" i="2"/>
  <c r="E63" i="2"/>
  <c r="A92" i="2"/>
  <c r="B63" i="2" l="1"/>
  <c r="C63" i="2"/>
  <c r="R70" i="1"/>
  <c r="X70" i="1" s="1"/>
  <c r="A93" i="2"/>
  <c r="AG70" i="1" l="1"/>
  <c r="AA70" i="1"/>
  <c r="A94" i="2"/>
  <c r="AH70" i="1" l="1"/>
  <c r="AL70" i="1" s="1"/>
  <c r="Q71" i="1" s="1"/>
  <c r="AK70" i="1"/>
  <c r="AJ70" i="1"/>
  <c r="D64" i="2"/>
  <c r="E64" i="2"/>
  <c r="A95" i="2"/>
  <c r="B64" i="2" l="1"/>
  <c r="C64" i="2"/>
  <c r="R71" i="1"/>
  <c r="X71" i="1" s="1"/>
  <c r="A96" i="2"/>
  <c r="AG71" i="1" l="1"/>
  <c r="AA71" i="1"/>
  <c r="A97" i="2"/>
  <c r="AH71" i="1" l="1"/>
  <c r="AL71" i="1" s="1"/>
  <c r="Q72" i="1" s="1"/>
  <c r="AK71" i="1"/>
  <c r="AJ71" i="1"/>
  <c r="D65" i="2"/>
  <c r="E65" i="2"/>
  <c r="A98" i="2"/>
  <c r="C65" i="2" l="1"/>
  <c r="B65" i="2"/>
  <c r="R72" i="1"/>
  <c r="X72" i="1" s="1"/>
  <c r="A99" i="2"/>
  <c r="AG72" i="1" l="1"/>
  <c r="AA72" i="1"/>
  <c r="A100" i="2"/>
  <c r="AH72" i="1" l="1"/>
  <c r="AL72" i="1" s="1"/>
  <c r="Q73" i="1" s="1"/>
  <c r="AK72" i="1"/>
  <c r="AJ72" i="1"/>
  <c r="D66" i="2"/>
  <c r="E66" i="2"/>
  <c r="A101" i="2"/>
  <c r="B66" i="2" l="1"/>
  <c r="C66" i="2"/>
  <c r="R73" i="1"/>
  <c r="X73" i="1" s="1"/>
  <c r="A102" i="2"/>
  <c r="AG73" i="1" l="1"/>
  <c r="AA73" i="1"/>
  <c r="A103" i="2"/>
  <c r="AH73" i="1" l="1"/>
  <c r="AL73" i="1" s="1"/>
  <c r="Q74" i="1" s="1"/>
  <c r="AK73" i="1"/>
  <c r="AJ73" i="1"/>
  <c r="D67" i="2"/>
  <c r="E67" i="2"/>
  <c r="A104" i="2"/>
  <c r="C67" i="2" l="1"/>
  <c r="B67" i="2"/>
  <c r="R74" i="1"/>
  <c r="X74" i="1" s="1"/>
  <c r="A105" i="2"/>
  <c r="AG74" i="1" l="1"/>
  <c r="AA74" i="1"/>
  <c r="A106" i="2"/>
  <c r="AH74" i="1" l="1"/>
  <c r="AL74" i="1" s="1"/>
  <c r="Q75" i="1" s="1"/>
  <c r="AK74" i="1"/>
  <c r="AJ74" i="1"/>
  <c r="D68" i="2"/>
  <c r="E68" i="2"/>
  <c r="A107" i="2"/>
  <c r="B68" i="2" l="1"/>
  <c r="C68" i="2"/>
  <c r="R75" i="1"/>
  <c r="X75" i="1" s="1"/>
  <c r="A108" i="2"/>
  <c r="AG75" i="1" l="1"/>
  <c r="AA75" i="1"/>
  <c r="A109" i="2"/>
  <c r="AH75" i="1" l="1"/>
  <c r="AL75" i="1" s="1"/>
  <c r="Q76" i="1" s="1"/>
  <c r="AJ75" i="1"/>
  <c r="AK75" i="1"/>
  <c r="D69" i="2"/>
  <c r="E69" i="2"/>
  <c r="A110" i="2"/>
  <c r="B69" i="2" l="1"/>
  <c r="C69" i="2"/>
  <c r="R76" i="1"/>
  <c r="X76" i="1" s="1"/>
  <c r="AA76" i="1" s="1"/>
  <c r="AG76" i="1" s="1"/>
  <c r="A111" i="2"/>
  <c r="AH76" i="1" l="1"/>
  <c r="AL76" i="1" s="1"/>
  <c r="Q77" i="1" s="1"/>
  <c r="AK76" i="1"/>
  <c r="AJ76" i="1"/>
  <c r="D70" i="2"/>
  <c r="E70" i="2"/>
  <c r="A112" i="2"/>
  <c r="C70" i="2" l="1"/>
  <c r="B70" i="2"/>
  <c r="R77" i="1"/>
  <c r="X77" i="1" s="1"/>
  <c r="AA77" i="1" s="1"/>
  <c r="AG77" i="1" s="1"/>
  <c r="A113" i="2"/>
  <c r="AH77" i="1" l="1"/>
  <c r="AL77" i="1" s="1"/>
  <c r="Q78" i="1" s="1"/>
  <c r="AJ77" i="1"/>
  <c r="AK77" i="1"/>
  <c r="D71" i="2"/>
  <c r="E71" i="2"/>
  <c r="A114" i="2"/>
  <c r="B71" i="2" l="1"/>
  <c r="C71" i="2"/>
  <c r="R78" i="1"/>
  <c r="X78" i="1" s="1"/>
  <c r="A115" i="2"/>
  <c r="AG78" i="1" l="1"/>
  <c r="AA78" i="1"/>
  <c r="A116" i="2"/>
  <c r="AH78" i="1" l="1"/>
  <c r="AL78" i="1" s="1"/>
  <c r="Q79" i="1" s="1"/>
  <c r="AK78" i="1"/>
  <c r="AJ78" i="1"/>
  <c r="D72" i="2"/>
  <c r="E72" i="2"/>
  <c r="A117" i="2"/>
  <c r="C72" i="2" l="1"/>
  <c r="B72" i="2"/>
  <c r="R79" i="1"/>
  <c r="X79" i="1" s="1"/>
  <c r="A118" i="2"/>
  <c r="AG79" i="1" l="1"/>
  <c r="AA79" i="1"/>
  <c r="A119" i="2"/>
  <c r="AH79" i="1" l="1"/>
  <c r="AL79" i="1" s="1"/>
  <c r="Q80" i="1" s="1"/>
  <c r="AK79" i="1"/>
  <c r="AJ79" i="1"/>
  <c r="D73" i="2"/>
  <c r="E73" i="2"/>
  <c r="A120" i="2"/>
  <c r="B73" i="2" l="1"/>
  <c r="C73" i="2"/>
  <c r="R80" i="1"/>
  <c r="X80" i="1" s="1"/>
  <c r="AA80" i="1" s="1"/>
  <c r="AG80" i="1" s="1"/>
  <c r="A121" i="2"/>
  <c r="AH80" i="1" l="1"/>
  <c r="AL80" i="1" s="1"/>
  <c r="Q81" i="1" s="1"/>
  <c r="AJ80" i="1"/>
  <c r="AK80" i="1"/>
  <c r="D74" i="2"/>
  <c r="E74" i="2"/>
  <c r="A122" i="2"/>
  <c r="B74" i="2" l="1"/>
  <c r="C74" i="2"/>
  <c r="R81" i="1"/>
  <c r="X81" i="1" s="1"/>
  <c r="A123" i="2"/>
  <c r="AG81" i="1" l="1"/>
  <c r="AA81" i="1"/>
  <c r="A124" i="2"/>
  <c r="AH81" i="1" l="1"/>
  <c r="AL81" i="1" s="1"/>
  <c r="Q82" i="1" s="1"/>
  <c r="AJ81" i="1"/>
  <c r="AK81" i="1"/>
  <c r="D75" i="2"/>
  <c r="E75" i="2"/>
  <c r="A125" i="2"/>
  <c r="B75" i="2" l="1"/>
  <c r="C75" i="2"/>
  <c r="R82" i="1"/>
  <c r="X82" i="1" s="1"/>
  <c r="AA82" i="1" s="1"/>
  <c r="AG82" i="1" s="1"/>
  <c r="A126" i="2"/>
  <c r="AH82" i="1" l="1"/>
  <c r="AL82" i="1" s="1"/>
  <c r="Q83" i="1" s="1"/>
  <c r="AJ82" i="1"/>
  <c r="AK82" i="1"/>
  <c r="AG4" i="1" s="1"/>
  <c r="D76" i="2"/>
  <c r="E76" i="2"/>
  <c r="A127" i="2"/>
  <c r="E3" i="2" l="1"/>
  <c r="Z5" i="1" s="1"/>
  <c r="E2" i="2"/>
  <c r="W5" i="1" s="1"/>
  <c r="X5" i="1"/>
  <c r="R4" i="1" s="1"/>
  <c r="S4" i="1" s="1"/>
  <c r="AA5" i="1"/>
  <c r="D3" i="2"/>
  <c r="Y5" i="1" s="1"/>
  <c r="D2" i="2"/>
  <c r="V5" i="1" s="1"/>
  <c r="AE4" i="1" s="1"/>
  <c r="AF4" i="1" s="1"/>
  <c r="B76" i="2"/>
  <c r="C76" i="2"/>
  <c r="AL83" i="1"/>
  <c r="Q84" i="1" s="1"/>
  <c r="R83" i="1"/>
  <c r="A128" i="2"/>
  <c r="C2" i="2" l="1"/>
  <c r="W4" i="1" s="1"/>
  <c r="C3" i="2"/>
  <c r="Z4" i="1" s="1"/>
  <c r="X4" i="1"/>
  <c r="AA4" i="1"/>
  <c r="B2" i="2"/>
  <c r="V4" i="1" s="1"/>
  <c r="B3" i="2"/>
  <c r="Y4" i="1" s="1"/>
  <c r="AL84" i="1"/>
  <c r="Q85" i="1" s="1"/>
  <c r="R84" i="1"/>
  <c r="A129" i="2"/>
  <c r="AL85" i="1" l="1"/>
  <c r="Q86" i="1" s="1"/>
  <c r="R85" i="1"/>
  <c r="A130" i="2"/>
  <c r="AL86" i="1" l="1"/>
  <c r="Q87" i="1" s="1"/>
  <c r="R86" i="1"/>
  <c r="A131" i="2"/>
  <c r="AL87" i="1" l="1"/>
  <c r="Q88" i="1" s="1"/>
  <c r="R87" i="1"/>
  <c r="A132" i="2"/>
  <c r="AL88" i="1" l="1"/>
  <c r="Q89" i="1" s="1"/>
  <c r="R88" i="1"/>
  <c r="X88" i="1" s="1"/>
  <c r="AA88" i="1" s="1"/>
  <c r="A133" i="2"/>
  <c r="AL89" i="1" l="1"/>
  <c r="Q90" i="1" s="1"/>
  <c r="R89" i="1"/>
  <c r="A134" i="2"/>
  <c r="AL90" i="1" l="1"/>
  <c r="Q91" i="1" s="1"/>
  <c r="R90" i="1"/>
  <c r="A135" i="2"/>
  <c r="AL91" i="1" l="1"/>
  <c r="Q92" i="1" s="1"/>
  <c r="R91" i="1"/>
  <c r="A136" i="2"/>
  <c r="AL92" i="1" l="1"/>
  <c r="Q93" i="1" s="1"/>
  <c r="R92" i="1"/>
  <c r="A137" i="2"/>
  <c r="AL93" i="1" l="1"/>
  <c r="Q94" i="1" s="1"/>
  <c r="R93" i="1"/>
  <c r="A138" i="2"/>
  <c r="AL94" i="1" l="1"/>
  <c r="Q95" i="1" s="1"/>
  <c r="R94" i="1"/>
  <c r="A139" i="2"/>
  <c r="AL95" i="1" l="1"/>
  <c r="Q96" i="1" s="1"/>
  <c r="R95" i="1"/>
  <c r="A140" i="2"/>
  <c r="AL96" i="1" l="1"/>
  <c r="Q97" i="1" s="1"/>
  <c r="R96" i="1"/>
  <c r="A141" i="2"/>
  <c r="AL97" i="1" l="1"/>
  <c r="Q98" i="1" s="1"/>
  <c r="R97" i="1"/>
  <c r="A142" i="2"/>
  <c r="AL98" i="1" l="1"/>
  <c r="Q99" i="1" s="1"/>
  <c r="R98" i="1"/>
  <c r="A143" i="2"/>
  <c r="AL99" i="1" l="1"/>
  <c r="Q100" i="1" s="1"/>
  <c r="R99" i="1"/>
  <c r="A144" i="2"/>
  <c r="AL100" i="1" l="1"/>
  <c r="Q101" i="1" s="1"/>
  <c r="R100" i="1"/>
  <c r="A145" i="2"/>
  <c r="AL101" i="1" l="1"/>
  <c r="R101" i="1"/>
  <c r="A146" i="2"/>
  <c r="A147" i="2" l="1"/>
  <c r="A148" i="2" l="1"/>
  <c r="A149" i="2" l="1"/>
  <c r="A150" i="2" l="1"/>
  <c r="A151" i="2" l="1"/>
  <c r="A152" i="2" l="1"/>
  <c r="A153" i="2" l="1"/>
  <c r="A154" i="2" l="1"/>
  <c r="A155" i="2" l="1"/>
  <c r="A156" i="2" l="1"/>
  <c r="A157" i="2" l="1"/>
  <c r="A158" i="2" l="1"/>
  <c r="A159" i="2" l="1"/>
  <c r="A160" i="2" l="1"/>
  <c r="A161" i="2" l="1"/>
  <c r="A162" i="2" l="1"/>
  <c r="A163" i="2" l="1"/>
  <c r="A164" i="2" l="1"/>
  <c r="A165" i="2" l="1"/>
  <c r="A166" i="2" l="1"/>
  <c r="A167" i="2" l="1"/>
  <c r="A168" i="2" l="1"/>
  <c r="A169" i="2" l="1"/>
  <c r="A170" i="2" l="1"/>
  <c r="A171" i="2" l="1"/>
  <c r="A172" i="2" l="1"/>
  <c r="A173" i="2" l="1"/>
  <c r="A174" i="2" l="1"/>
  <c r="A175" i="2" l="1"/>
  <c r="A176" i="2" l="1"/>
  <c r="A177" i="2" l="1"/>
  <c r="A178" i="2" l="1"/>
  <c r="A179" i="2" l="1"/>
  <c r="A180" i="2" l="1"/>
  <c r="A181" i="2" l="1"/>
  <c r="A182" i="2" l="1"/>
  <c r="A183" i="2" l="1"/>
  <c r="A184" i="2" l="1"/>
  <c r="A185" i="2" l="1"/>
  <c r="A186" i="2" l="1"/>
  <c r="A187" i="2" l="1"/>
  <c r="A188" i="2" l="1"/>
  <c r="A189" i="2" l="1"/>
  <c r="A190" i="2" l="1"/>
  <c r="A191" i="2" l="1"/>
  <c r="A192" i="2" l="1"/>
  <c r="A193" i="2" l="1"/>
  <c r="A194" i="2" l="1"/>
  <c r="A195" i="2" l="1"/>
  <c r="A196" i="2" l="1"/>
  <c r="A197" i="2" l="1"/>
  <c r="A198" i="2" l="1"/>
  <c r="A199" i="2" l="1"/>
  <c r="A200" i="2" l="1"/>
  <c r="A201" i="2" l="1"/>
  <c r="A202" i="2" l="1"/>
  <c r="A204" i="2" l="1"/>
  <c r="A20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G116" authorId="0" shapeId="0" xr:uid="{53A5C760-C5AC-A347-A56D-B7378394D3F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Falha do server da IC MARKETS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Não pude cortar a operação com segurança</t>
        </r>
      </text>
    </comment>
  </commentList>
</comments>
</file>

<file path=xl/sharedStrings.xml><?xml version="1.0" encoding="utf-8"?>
<sst xmlns="http://schemas.openxmlformats.org/spreadsheetml/2006/main" count="1173" uniqueCount="312">
  <si>
    <t>Fundos iniciais</t>
  </si>
  <si>
    <t xml:space="preserve">Mov. Add. Fundos </t>
  </si>
  <si>
    <t>Profit</t>
  </si>
  <si>
    <t>Current Funds</t>
  </si>
  <si>
    <t>Risk</t>
  </si>
  <si>
    <t>Total</t>
  </si>
  <si>
    <t>Average</t>
  </si>
  <si>
    <t>Comissões</t>
  </si>
  <si>
    <t>Swaps</t>
  </si>
  <si>
    <t>Capital liquido Gerado</t>
  </si>
  <si>
    <t>Efective % (W. Add. Funds)</t>
  </si>
  <si>
    <t>RRR Liquido Realizado</t>
  </si>
  <si>
    <t>Nº Op</t>
  </si>
  <si>
    <t>% Win</t>
  </si>
  <si>
    <t>Win</t>
  </si>
  <si>
    <t>Lose</t>
  </si>
  <si>
    <t>NEUTRO</t>
  </si>
  <si>
    <t>Loss</t>
  </si>
  <si>
    <t>TIPO</t>
  </si>
  <si>
    <t>Nº
T</t>
  </si>
  <si>
    <t>Nº S</t>
  </si>
  <si>
    <t>Dia da semana</t>
  </si>
  <si>
    <t>DATA</t>
  </si>
  <si>
    <t>Hora</t>
  </si>
  <si>
    <t>Grupo</t>
  </si>
  <si>
    <t>Par/Produto</t>
  </si>
  <si>
    <t>estratégia</t>
  </si>
  <si>
    <t>Marco Temporal</t>
  </si>
  <si>
    <t>Tipo de entrada</t>
  </si>
  <si>
    <t>W
L</t>
  </si>
  <si>
    <t>E</t>
  </si>
  <si>
    <t>G</t>
  </si>
  <si>
    <t>S</t>
  </si>
  <si>
    <t>Starting Position</t>
  </si>
  <si>
    <t>Stop Loss</t>
  </si>
  <si>
    <t>Take Profit</t>
  </si>
  <si>
    <t>Close Position</t>
  </si>
  <si>
    <t>TOTAL depois da operação</t>
  </si>
  <si>
    <t>Account
Funds</t>
  </si>
  <si>
    <t>€
Risk</t>
  </si>
  <si>
    <t>%
Risk</t>
  </si>
  <si>
    <t>Lot</t>
  </si>
  <si>
    <t>Position
entry</t>
  </si>
  <si>
    <t>Max 
Loss</t>
  </si>
  <si>
    <t>Pips</t>
  </si>
  <si>
    <t>€ 
Loss</t>
  </si>
  <si>
    <t>€ 
Gain</t>
  </si>
  <si>
    <t>RRR</t>
  </si>
  <si>
    <t>Day
Close</t>
  </si>
  <si>
    <t>Closing
price</t>
  </si>
  <si>
    <t>Comissão</t>
  </si>
  <si>
    <t>Swap</t>
  </si>
  <si>
    <t>Lucro</t>
  </si>
  <si>
    <t>Lucro liquido</t>
  </si>
  <si>
    <t>Pips
Close</t>
  </si>
  <si>
    <t>RRR
Realizado</t>
  </si>
  <si>
    <t>RRR Liquido</t>
  </si>
  <si>
    <t>Currency</t>
  </si>
  <si>
    <t>Grup</t>
  </si>
  <si>
    <t>Avaliação das Entradas:</t>
  </si>
  <si>
    <t>,</t>
  </si>
  <si>
    <t>Sentido</t>
  </si>
  <si>
    <t>Day W</t>
  </si>
  <si>
    <t>Estratégia</t>
  </si>
  <si>
    <t>Time Frame</t>
  </si>
  <si>
    <t>W L</t>
  </si>
  <si>
    <t>O C</t>
  </si>
  <si>
    <t>News</t>
  </si>
  <si>
    <t>Candle</t>
  </si>
  <si>
    <t>Emotional state</t>
  </si>
  <si>
    <t>Short</t>
  </si>
  <si>
    <t>2ª F</t>
  </si>
  <si>
    <t>Londres</t>
  </si>
  <si>
    <t>BSL</t>
  </si>
  <si>
    <t>1D</t>
  </si>
  <si>
    <t>W</t>
  </si>
  <si>
    <t>O</t>
  </si>
  <si>
    <t>Yes</t>
  </si>
  <si>
    <t>Open</t>
  </si>
  <si>
    <t>Majors</t>
  </si>
  <si>
    <t>Impatience</t>
  </si>
  <si>
    <t>x</t>
  </si>
  <si>
    <t>EURUSD</t>
  </si>
  <si>
    <t>Fusion demo</t>
  </si>
  <si>
    <t>22 de Janeiro</t>
  </si>
  <si>
    <t>Minors</t>
  </si>
  <si>
    <t>AUDUSD</t>
  </si>
  <si>
    <t>ICT</t>
  </si>
  <si>
    <t>30m</t>
  </si>
  <si>
    <t>L</t>
  </si>
  <si>
    <t>Long</t>
  </si>
  <si>
    <t>3ª F</t>
  </si>
  <si>
    <t>NY</t>
  </si>
  <si>
    <t>SSL</t>
  </si>
  <si>
    <t>12h</t>
  </si>
  <si>
    <t>C</t>
  </si>
  <si>
    <t>No</t>
  </si>
  <si>
    <t>Close</t>
  </si>
  <si>
    <t>Fear</t>
  </si>
  <si>
    <t>A</t>
  </si>
  <si>
    <t>Boa entrada - Com estratégia - No timming Correto - Boa probabilidade</t>
  </si>
  <si>
    <t>5ª F</t>
  </si>
  <si>
    <t>1 de Fevereiro</t>
  </si>
  <si>
    <t>1m</t>
  </si>
  <si>
    <t>2 de Fevereiro</t>
  </si>
  <si>
    <t>4ª F</t>
  </si>
  <si>
    <t>Asia</t>
  </si>
  <si>
    <t>FVG</t>
  </si>
  <si>
    <t>8h</t>
  </si>
  <si>
    <t>N</t>
  </si>
  <si>
    <t>n/a</t>
  </si>
  <si>
    <t>Next</t>
  </si>
  <si>
    <t>Exotics</t>
  </si>
  <si>
    <t>Greed</t>
  </si>
  <si>
    <t>GBPCHF</t>
  </si>
  <si>
    <t>B</t>
  </si>
  <si>
    <t xml:space="preserve">Boa entrada - Com alguma estratégia - Alguma Probabilidade </t>
  </si>
  <si>
    <t>OB</t>
  </si>
  <si>
    <t>4h</t>
  </si>
  <si>
    <t>Indices</t>
  </si>
  <si>
    <t>Hope</t>
  </si>
  <si>
    <t>GBPUSD</t>
  </si>
  <si>
    <t xml:space="preserve">Razoavél - Com alguma estratégia - Mas impulsiva </t>
  </si>
  <si>
    <t>7 de Fevereiro</t>
  </si>
  <si>
    <t>7 de Janeiro</t>
  </si>
  <si>
    <t>6ª F</t>
  </si>
  <si>
    <t>2h</t>
  </si>
  <si>
    <t>Futures</t>
  </si>
  <si>
    <t>Confidence</t>
  </si>
  <si>
    <t>USDCAD</t>
  </si>
  <si>
    <t>D</t>
  </si>
  <si>
    <t xml:space="preserve">Má entrada - Sem estratégia e impulsiva </t>
  </si>
  <si>
    <t>FTMO challenge 1</t>
  </si>
  <si>
    <t>19 de Março</t>
  </si>
  <si>
    <t>1h</t>
  </si>
  <si>
    <t>Uncertainty</t>
  </si>
  <si>
    <t>USDCHF</t>
  </si>
  <si>
    <t>21 de Março</t>
  </si>
  <si>
    <t>Serene</t>
  </si>
  <si>
    <t>USDJPY</t>
  </si>
  <si>
    <t>Avaliação da Gestão</t>
  </si>
  <si>
    <t>26 de Março</t>
  </si>
  <si>
    <t>5m</t>
  </si>
  <si>
    <t>15m</t>
  </si>
  <si>
    <t>AUDCAD</t>
  </si>
  <si>
    <t xml:space="preserve">Trailing Stop com a sequência de máximos e minimos - Confortável com a posição - Posição encaminhada </t>
  </si>
  <si>
    <t>28 de Março</t>
  </si>
  <si>
    <t>AUDCHF</t>
  </si>
  <si>
    <t>Trailing Stop com a sequência de máximos e minimos - Preocupação com a posição - Posição a perder estrutura</t>
  </si>
  <si>
    <t>2 de Arbil</t>
  </si>
  <si>
    <t>2 de Abril</t>
  </si>
  <si>
    <t>3m</t>
  </si>
  <si>
    <t>AUDJPY</t>
  </si>
  <si>
    <t xml:space="preserve">Alteração do stop sem estratégia de máximos e minimos - Preocupação com a posição </t>
  </si>
  <si>
    <t>3 de Abril</t>
  </si>
  <si>
    <t>1S</t>
  </si>
  <si>
    <t>AUDNZD</t>
  </si>
  <si>
    <t>Sem Gestão - Não Fechei após a 1ª/2ª vela negativa</t>
  </si>
  <si>
    <t>4 de Abril</t>
  </si>
  <si>
    <t>6h</t>
  </si>
  <si>
    <t>CADCHF</t>
  </si>
  <si>
    <t>5 de Abril</t>
  </si>
  <si>
    <t>15s</t>
  </si>
  <si>
    <t>CADJPY</t>
  </si>
  <si>
    <t>Avaliação da Saída</t>
  </si>
  <si>
    <t>CHFJPY</t>
  </si>
  <si>
    <t xml:space="preserve">Take Profit no ponto definido inicialmente - saida automática </t>
  </si>
  <si>
    <t>9 de Abril</t>
  </si>
  <si>
    <t>2m</t>
  </si>
  <si>
    <t>EURAUD</t>
  </si>
  <si>
    <t xml:space="preserve">Stop-Win em trailing Sop com estratégia </t>
  </si>
  <si>
    <t>long</t>
  </si>
  <si>
    <t>4m</t>
  </si>
  <si>
    <t>EURCAD</t>
  </si>
  <si>
    <t xml:space="preserve">Stop-Loss Parcial devido a falha na posição - Reversão da posição a negativo - Stop de Segurança </t>
  </si>
  <si>
    <t>10 de Abril</t>
  </si>
  <si>
    <t>EURCHF</t>
  </si>
  <si>
    <t>Stop-Loss Total - Má gestão de saída da posição</t>
  </si>
  <si>
    <t>EURGBP</t>
  </si>
  <si>
    <t>Fecho Manual - Desconforto com a posição/ 1ª Vela negativa / Reversão</t>
  </si>
  <si>
    <t>EURJPY</t>
  </si>
  <si>
    <t>6 de Maio</t>
  </si>
  <si>
    <t>EURNZD</t>
  </si>
  <si>
    <t>7 de Maio</t>
  </si>
  <si>
    <t>GBPAUD</t>
  </si>
  <si>
    <t>GBPCAD</t>
  </si>
  <si>
    <t>8 de Maio</t>
  </si>
  <si>
    <t>9 de Maio</t>
  </si>
  <si>
    <t>GBPJPY</t>
  </si>
  <si>
    <t>13 de Maio</t>
  </si>
  <si>
    <t>GBPNZD</t>
  </si>
  <si>
    <t>NZDCAD</t>
  </si>
  <si>
    <t>20 de Maio</t>
  </si>
  <si>
    <t>NZDCHF</t>
  </si>
  <si>
    <t>27 de Maio</t>
  </si>
  <si>
    <t>w</t>
  </si>
  <si>
    <t>NZDJPY</t>
  </si>
  <si>
    <t>30 de Maio</t>
  </si>
  <si>
    <t>NZDUSD</t>
  </si>
  <si>
    <t>3 de Junho</t>
  </si>
  <si>
    <t>USDSGD</t>
  </si>
  <si>
    <t>AUDSGD</t>
  </si>
  <si>
    <t>CHFSGD</t>
  </si>
  <si>
    <t>4 de Junho</t>
  </si>
  <si>
    <t>EURDKK</t>
  </si>
  <si>
    <t>6 de Junho</t>
  </si>
  <si>
    <t>EURHKD</t>
  </si>
  <si>
    <t>EURNOK</t>
  </si>
  <si>
    <t>7 de Junho</t>
  </si>
  <si>
    <t>EURPLN</t>
  </si>
  <si>
    <t>12 de Junho</t>
  </si>
  <si>
    <t>EURSEK</t>
  </si>
  <si>
    <t>13 de Junho</t>
  </si>
  <si>
    <t>EURSGD</t>
  </si>
  <si>
    <t>14 de Junho</t>
  </si>
  <si>
    <t>EURTRY</t>
  </si>
  <si>
    <t>EURZAR</t>
  </si>
  <si>
    <t>17 de Junho</t>
  </si>
  <si>
    <t>GBPDKK</t>
  </si>
  <si>
    <t>GBPNOK</t>
  </si>
  <si>
    <t>18 de Junho</t>
  </si>
  <si>
    <t>UK100</t>
  </si>
  <si>
    <t>GBPSEK</t>
  </si>
  <si>
    <t>19 de Junho</t>
  </si>
  <si>
    <t>GBPSGD</t>
  </si>
  <si>
    <t>GBPTRY</t>
  </si>
  <si>
    <t>NOKJPY</t>
  </si>
  <si>
    <t>NOKSEK</t>
  </si>
  <si>
    <t>20 de Junho</t>
  </si>
  <si>
    <t>SEKJPY</t>
  </si>
  <si>
    <t>24 de Junho</t>
  </si>
  <si>
    <t>USDCNH</t>
  </si>
  <si>
    <t>USDCZK</t>
  </si>
  <si>
    <t>USDDKK</t>
  </si>
  <si>
    <t>25 de Junho</t>
  </si>
  <si>
    <t>USDHKD</t>
  </si>
  <si>
    <t>26 de Junho</t>
  </si>
  <si>
    <t>USDHUF</t>
  </si>
  <si>
    <t>USDMXN</t>
  </si>
  <si>
    <t>27 de Junho</t>
  </si>
  <si>
    <t>USDNOK</t>
  </si>
  <si>
    <t>1 de Julho</t>
  </si>
  <si>
    <t>USDPLN</t>
  </si>
  <si>
    <t>2 de Julho</t>
  </si>
  <si>
    <t>USDRUB</t>
  </si>
  <si>
    <t>3 de Julho</t>
  </si>
  <si>
    <t>USDSEK</t>
  </si>
  <si>
    <t>USDTHB</t>
  </si>
  <si>
    <t>4 de Julho</t>
  </si>
  <si>
    <t>USDTRY</t>
  </si>
  <si>
    <t>15 de Julho</t>
  </si>
  <si>
    <t>USDZAR</t>
  </si>
  <si>
    <t>17 de Julho</t>
  </si>
  <si>
    <t>XAGEUR</t>
  </si>
  <si>
    <t>18 de Julho</t>
  </si>
  <si>
    <t>XAGUSD</t>
  </si>
  <si>
    <t>XNGUSD</t>
  </si>
  <si>
    <t>22 de Julho</t>
  </si>
  <si>
    <t>XTIUSD</t>
  </si>
  <si>
    <t>XBRUSD</t>
  </si>
  <si>
    <t>XPTUSD</t>
  </si>
  <si>
    <t>XPDUSD</t>
  </si>
  <si>
    <t>23 de Julho</t>
  </si>
  <si>
    <t>XAUEUR</t>
  </si>
  <si>
    <t>XAUUSD</t>
  </si>
  <si>
    <t>24 de Julho</t>
  </si>
  <si>
    <t>XAUAUD</t>
  </si>
  <si>
    <t>25 de Julho</t>
  </si>
  <si>
    <t>SUGAR</t>
  </si>
  <si>
    <t>DE30</t>
  </si>
  <si>
    <t>indices</t>
  </si>
  <si>
    <t>26 de Julho</t>
  </si>
  <si>
    <t>26 de Julhp</t>
  </si>
  <si>
    <t>Nasdaq</t>
  </si>
  <si>
    <t>29 de Julho</t>
  </si>
  <si>
    <t>30 de Julho</t>
  </si>
  <si>
    <t>31 de Julho</t>
  </si>
  <si>
    <t>1 de Agosto</t>
  </si>
  <si>
    <t>2 de Agosto</t>
  </si>
  <si>
    <t xml:space="preserve">5 de Agosto </t>
  </si>
  <si>
    <t>Nº Entradas/Dia semana</t>
  </si>
  <si>
    <t>2ª Feira</t>
  </si>
  <si>
    <t>3ª Feira</t>
  </si>
  <si>
    <t>4ª Feira</t>
  </si>
  <si>
    <t>5ª Feira</t>
  </si>
  <si>
    <t>6ª Feira</t>
  </si>
  <si>
    <t>Acerto:</t>
  </si>
  <si>
    <t>Perda:</t>
  </si>
  <si>
    <t>Taxa de Acerto:</t>
  </si>
  <si>
    <t xml:space="preserve">Manhã </t>
  </si>
  <si>
    <t>Tarde</t>
  </si>
  <si>
    <t>Marcos Temporais</t>
  </si>
  <si>
    <t>3 Minutos</t>
  </si>
  <si>
    <t>5 Minutos</t>
  </si>
  <si>
    <t>15 Minutos</t>
  </si>
  <si>
    <t>30 Minutos</t>
  </si>
  <si>
    <t>1 Hora</t>
  </si>
  <si>
    <t>2 Horas</t>
  </si>
  <si>
    <t>4 Horas</t>
  </si>
  <si>
    <t>8 Horas</t>
  </si>
  <si>
    <t>1 Dia</t>
  </si>
  <si>
    <t xml:space="preserve">1 Semana </t>
  </si>
  <si>
    <t>Breakout</t>
  </si>
  <si>
    <t>Bandeira</t>
  </si>
  <si>
    <t>Retest</t>
  </si>
  <si>
    <t>Entradas por estratégia</t>
  </si>
  <si>
    <t>BreakOut</t>
  </si>
  <si>
    <t>Taxa de Acerto estratégia:</t>
  </si>
  <si>
    <t>Ganhos
%</t>
  </si>
  <si>
    <t>Perdas
%</t>
  </si>
  <si>
    <t>Ganhos
€</t>
  </si>
  <si>
    <t>Perdas
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</si>
</sst>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[$-816]d/mmm;@"/>
    <numFmt numFmtId="165" formatCode="h:mm;@"/>
    <numFmt numFmtId="166" formatCode="_-* #,##0\ &quot;€&quot;_-;\-* #,##0\ &quot;€&quot;_-;_-* &quot;-&quot;??\ &quot;€&quot;_-;_-@_-"/>
    <numFmt numFmtId="167" formatCode="#,##0.00\ &quot;€&quot;"/>
    <numFmt numFmtId="168" formatCode="0.00000"/>
    <numFmt numFmtId="169" formatCode="0.000"/>
    <numFmt numFmtId="170" formatCode="0.0%"/>
    <numFmt numFmtId="171" formatCode="dd/mm\ hh:mm;@"/>
    <numFmt numFmtId="172" formatCode="#,##0.00\ [$€-1]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1"/>
      <color rgb="FF000000"/>
      <name val="Tahoma"/>
      <family val="2"/>
    </font>
    <font>
      <sz val="8"/>
      <color theme="1"/>
      <name val="Tahoma"/>
      <family val="2"/>
    </font>
    <font>
      <sz val="8"/>
      <name val="Calibri"/>
      <family val="2"/>
      <scheme val="minor"/>
    </font>
    <font>
      <sz val="8"/>
      <color rgb="FF000000"/>
      <name val="Tahoma"/>
      <family val="2"/>
    </font>
    <font>
      <b/>
      <sz val="8"/>
      <color theme="1" tint="4.9989318521683403E-2"/>
      <name val="Tahoma"/>
      <family val="2"/>
    </font>
    <font>
      <sz val="8"/>
      <color theme="1" tint="4.9989318521683403E-2"/>
      <name val="Tahoma"/>
      <family val="2"/>
    </font>
    <font>
      <b/>
      <sz val="8"/>
      <color rgb="FF000000"/>
      <name val="Tahoma"/>
      <family val="2"/>
    </font>
    <font>
      <b/>
      <sz val="8"/>
      <color theme="1"/>
      <name val="Tahoma"/>
      <family val="2"/>
    </font>
    <font>
      <b/>
      <sz val="8"/>
      <color theme="7" tint="-0.499984740745262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color rgb="FF00B050"/>
      <name val="Tahoma"/>
      <family val="2"/>
    </font>
    <font>
      <b/>
      <sz val="8"/>
      <color rgb="FFC00000"/>
      <name val="Tahoma"/>
      <family val="2"/>
    </font>
    <font>
      <b/>
      <sz val="8"/>
      <color theme="8" tint="-0.499984740745262"/>
      <name val="Tahoma"/>
      <family val="2"/>
    </font>
    <font>
      <b/>
      <sz val="8"/>
      <color theme="9" tint="-0.249977111117893"/>
      <name val="Tahoma"/>
      <family val="2"/>
    </font>
    <font>
      <sz val="1"/>
      <color theme="1"/>
      <name val="Tahoma"/>
      <family val="2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7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8"/>
      <color theme="1"/>
      <name val="Calibri"/>
      <family val="2"/>
      <scheme val="minor"/>
    </font>
    <font>
      <sz val="8"/>
      <color rgb="FFE60000"/>
      <name val="Tahoma"/>
      <family val="2"/>
    </font>
    <font>
      <sz val="8"/>
      <color rgb="FF375623"/>
      <name val="Tahoma"/>
      <family val="2"/>
    </font>
    <font>
      <sz val="8"/>
      <color rgb="FFFF0000"/>
      <name val="Tahoma"/>
      <family val="2"/>
    </font>
    <font>
      <sz val="8"/>
      <color theme="9" tint="-0.499984740745262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FFFDDE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A66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42">
    <xf numFmtId="0" fontId="0" fillId="0" borderId="0" xfId="0"/>
    <xf numFmtId="0" fontId="4" fillId="0" borderId="0" xfId="0" applyFont="1" applyAlignment="1">
      <alignment horizontal="center"/>
    </xf>
    <xf numFmtId="170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3" fillId="3" borderId="0" xfId="0" applyFont="1" applyFill="1" applyAlignment="1">
      <alignment vertical="top"/>
    </xf>
    <xf numFmtId="170" fontId="4" fillId="0" borderId="9" xfId="3" applyNumberFormat="1" applyFont="1" applyBorder="1" applyAlignment="1">
      <alignment horizontal="center"/>
    </xf>
    <xf numFmtId="167" fontId="4" fillId="0" borderId="9" xfId="3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7" fontId="4" fillId="0" borderId="13" xfId="3" applyNumberFormat="1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7" fillId="2" borderId="36" xfId="0" applyFont="1" applyFill="1" applyBorder="1" applyAlignment="1">
      <alignment horizontal="center" vertical="top" wrapText="1"/>
    </xf>
    <xf numFmtId="0" fontId="7" fillId="2" borderId="25" xfId="0" applyFont="1" applyFill="1" applyBorder="1" applyAlignment="1">
      <alignment horizontal="center" vertical="top" wrapText="1"/>
    </xf>
    <xf numFmtId="0" fontId="7" fillId="2" borderId="34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10" fillId="2" borderId="4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9" fontId="4" fillId="0" borderId="0" xfId="3" applyFont="1" applyAlignment="1">
      <alignment horizontal="center" vertical="center"/>
    </xf>
    <xf numFmtId="0" fontId="12" fillId="3" borderId="9" xfId="0" applyFont="1" applyFill="1" applyBorder="1" applyAlignment="1">
      <alignment vertical="center"/>
    </xf>
    <xf numFmtId="167" fontId="13" fillId="8" borderId="9" xfId="2" applyNumberFormat="1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9" fontId="2" fillId="3" borderId="37" xfId="3" applyFont="1" applyFill="1" applyBorder="1" applyAlignment="1">
      <alignment horizontal="center" vertical="center"/>
    </xf>
    <xf numFmtId="9" fontId="2" fillId="3" borderId="28" xfId="3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0" fontId="14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170" fontId="6" fillId="3" borderId="0" xfId="3" applyNumberFormat="1" applyFont="1" applyFill="1" applyBorder="1" applyAlignment="1">
      <alignment horizontal="right" vertical="center"/>
    </xf>
    <xf numFmtId="167" fontId="6" fillId="3" borderId="0" xfId="3" applyNumberFormat="1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center" vertical="center"/>
    </xf>
    <xf numFmtId="164" fontId="6" fillId="3" borderId="9" xfId="0" applyNumberFormat="1" applyFont="1" applyFill="1" applyBorder="1" applyAlignment="1">
      <alignment horizontal="center" vertical="center"/>
    </xf>
    <xf numFmtId="171" fontId="6" fillId="3" borderId="9" xfId="0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 vertical="center"/>
    </xf>
    <xf numFmtId="49" fontId="6" fillId="3" borderId="9" xfId="2" applyNumberFormat="1" applyFont="1" applyFill="1" applyBorder="1" applyAlignment="1">
      <alignment horizontal="center" vertical="center"/>
    </xf>
    <xf numFmtId="166" fontId="6" fillId="3" borderId="9" xfId="2" applyNumberFormat="1" applyFont="1" applyFill="1" applyBorder="1" applyAlignment="1">
      <alignment horizontal="center" vertical="center"/>
    </xf>
    <xf numFmtId="166" fontId="6" fillId="3" borderId="10" xfId="2" applyNumberFormat="1" applyFont="1" applyFill="1" applyBorder="1" applyAlignment="1">
      <alignment horizontal="center" vertical="center"/>
    </xf>
    <xf numFmtId="167" fontId="6" fillId="3" borderId="8" xfId="0" applyNumberFormat="1" applyFont="1" applyFill="1" applyBorder="1" applyAlignment="1">
      <alignment horizontal="right" vertical="center"/>
    </xf>
    <xf numFmtId="167" fontId="6" fillId="4" borderId="9" xfId="2" applyNumberFormat="1" applyFont="1" applyFill="1" applyBorder="1" applyAlignment="1">
      <alignment horizontal="right" vertical="center"/>
    </xf>
    <xf numFmtId="10" fontId="6" fillId="3" borderId="9" xfId="3" applyNumberFormat="1" applyFont="1" applyFill="1" applyBorder="1" applyAlignment="1">
      <alignment horizontal="right" vertical="center"/>
    </xf>
    <xf numFmtId="2" fontId="6" fillId="3" borderId="9" xfId="1" applyNumberFormat="1" applyFont="1" applyFill="1" applyBorder="1" applyAlignment="1">
      <alignment horizontal="center" vertical="center"/>
    </xf>
    <xf numFmtId="168" fontId="6" fillId="4" borderId="9" xfId="1" applyNumberFormat="1" applyFont="1" applyFill="1" applyBorder="1" applyAlignment="1">
      <alignment horizontal="right" vertical="center"/>
    </xf>
    <xf numFmtId="167" fontId="6" fillId="4" borderId="10" xfId="2" applyNumberFormat="1" applyFont="1" applyFill="1" applyBorder="1" applyAlignment="1">
      <alignment horizontal="right" vertical="center"/>
    </xf>
    <xf numFmtId="167" fontId="6" fillId="4" borderId="13" xfId="2" applyNumberFormat="1" applyFont="1" applyFill="1" applyBorder="1" applyAlignment="1">
      <alignment horizontal="right" vertical="center"/>
    </xf>
    <xf numFmtId="2" fontId="6" fillId="4" borderId="13" xfId="1" applyNumberFormat="1" applyFont="1" applyFill="1" applyBorder="1" applyAlignment="1">
      <alignment horizontal="right" vertical="center"/>
    </xf>
    <xf numFmtId="167" fontId="6" fillId="3" borderId="9" xfId="2" applyNumberFormat="1" applyFont="1" applyFill="1" applyBorder="1" applyAlignment="1">
      <alignment horizontal="right" vertical="center"/>
    </xf>
    <xf numFmtId="2" fontId="9" fillId="3" borderId="9" xfId="1" applyNumberFormat="1" applyFont="1" applyFill="1" applyBorder="1" applyAlignment="1">
      <alignment horizontal="center" vertical="center"/>
    </xf>
    <xf numFmtId="168" fontId="6" fillId="3" borderId="10" xfId="0" applyNumberFormat="1" applyFont="1" applyFill="1" applyBorder="1" applyAlignment="1">
      <alignment horizontal="right" vertical="center"/>
    </xf>
    <xf numFmtId="168" fontId="6" fillId="3" borderId="11" xfId="0" applyNumberFormat="1" applyFont="1" applyFill="1" applyBorder="1" applyAlignment="1">
      <alignment horizontal="right" vertical="center"/>
    </xf>
    <xf numFmtId="168" fontId="6" fillId="3" borderId="9" xfId="1" applyNumberFormat="1" applyFont="1" applyFill="1" applyBorder="1" applyAlignment="1">
      <alignment horizontal="right" vertical="center"/>
    </xf>
    <xf numFmtId="0" fontId="9" fillId="3" borderId="9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left" vertical="center"/>
    </xf>
    <xf numFmtId="169" fontId="12" fillId="7" borderId="9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172" fontId="13" fillId="8" borderId="9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10" fontId="6" fillId="3" borderId="0" xfId="0" applyNumberFormat="1" applyFont="1" applyFill="1" applyAlignment="1">
      <alignment horizontal="right" vertical="center"/>
    </xf>
    <xf numFmtId="49" fontId="9" fillId="3" borderId="10" xfId="2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1" fillId="3" borderId="0" xfId="4" applyFont="1" applyFill="1" applyAlignment="1">
      <alignment horizontal="center" vertical="center"/>
    </xf>
    <xf numFmtId="170" fontId="6" fillId="3" borderId="0" xfId="1" applyNumberFormat="1" applyFont="1" applyFill="1" applyBorder="1" applyAlignment="1">
      <alignment vertical="center"/>
    </xf>
    <xf numFmtId="0" fontId="20" fillId="4" borderId="8" xfId="0" applyFont="1" applyFill="1" applyBorder="1" applyAlignment="1">
      <alignment horizontal="center" vertical="center"/>
    </xf>
    <xf numFmtId="0" fontId="22" fillId="3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168" fontId="4" fillId="3" borderId="0" xfId="0" applyNumberFormat="1" applyFont="1" applyFill="1" applyAlignment="1">
      <alignment vertical="center"/>
    </xf>
    <xf numFmtId="168" fontId="4" fillId="0" borderId="0" xfId="0" applyNumberFormat="1" applyFont="1" applyAlignment="1">
      <alignment vertical="center"/>
    </xf>
    <xf numFmtId="0" fontId="11" fillId="3" borderId="0" xfId="0" applyFont="1" applyFill="1" applyAlignment="1">
      <alignment horizontal="left" vertical="center" wrapText="1"/>
    </xf>
    <xf numFmtId="0" fontId="25" fillId="4" borderId="4" xfId="0" applyFont="1" applyFill="1" applyBorder="1" applyAlignment="1">
      <alignment horizontal="center" vertical="center"/>
    </xf>
    <xf numFmtId="9" fontId="25" fillId="4" borderId="5" xfId="3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167" fontId="24" fillId="4" borderId="4" xfId="2" applyNumberFormat="1" applyFont="1" applyFill="1" applyBorder="1" applyAlignment="1">
      <alignment horizontal="right" vertical="center"/>
    </xf>
    <xf numFmtId="167" fontId="24" fillId="4" borderId="5" xfId="2" applyNumberFormat="1" applyFont="1" applyFill="1" applyBorder="1" applyAlignment="1">
      <alignment horizontal="right" vertical="center"/>
    </xf>
    <xf numFmtId="167" fontId="24" fillId="4" borderId="6" xfId="3" applyNumberFormat="1" applyFont="1" applyFill="1" applyBorder="1" applyAlignment="1">
      <alignment horizontal="right" vertical="center"/>
    </xf>
    <xf numFmtId="10" fontId="24" fillId="4" borderId="10" xfId="3" applyNumberFormat="1" applyFont="1" applyFill="1" applyBorder="1" applyAlignment="1">
      <alignment horizontal="right" vertical="center"/>
    </xf>
    <xf numFmtId="167" fontId="24" fillId="3" borderId="4" xfId="3" applyNumberFormat="1" applyFont="1" applyFill="1" applyBorder="1" applyAlignment="1">
      <alignment horizontal="right" vertical="center"/>
    </xf>
    <xf numFmtId="167" fontId="24" fillId="4" borderId="5" xfId="3" applyNumberFormat="1" applyFont="1" applyFill="1" applyBorder="1" applyAlignment="1">
      <alignment horizontal="right" vertical="center"/>
    </xf>
    <xf numFmtId="10" fontId="24" fillId="3" borderId="6" xfId="0" applyNumberFormat="1" applyFont="1" applyFill="1" applyBorder="1" applyAlignment="1">
      <alignment horizontal="right" vertical="center"/>
    </xf>
    <xf numFmtId="0" fontId="24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right" vertical="center"/>
    </xf>
    <xf numFmtId="10" fontId="6" fillId="4" borderId="10" xfId="3" applyNumberFormat="1" applyFont="1" applyFill="1" applyBorder="1" applyAlignment="1">
      <alignment horizontal="right" vertical="center"/>
    </xf>
    <xf numFmtId="10" fontId="24" fillId="4" borderId="9" xfId="3" applyNumberFormat="1" applyFont="1" applyFill="1" applyBorder="1" applyAlignment="1">
      <alignment horizontal="right" vertical="center"/>
    </xf>
    <xf numFmtId="10" fontId="24" fillId="4" borderId="8" xfId="3" applyNumberFormat="1" applyFont="1" applyFill="1" applyBorder="1" applyAlignment="1">
      <alignment horizontal="right" vertical="center"/>
    </xf>
    <xf numFmtId="0" fontId="19" fillId="4" borderId="8" xfId="4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10" fontId="0" fillId="0" borderId="0" xfId="0" applyNumberFormat="1"/>
    <xf numFmtId="10" fontId="27" fillId="0" borderId="0" xfId="0" applyNumberFormat="1" applyFont="1"/>
    <xf numFmtId="0" fontId="27" fillId="10" borderId="42" xfId="0" applyFont="1" applyFill="1" applyBorder="1" applyAlignment="1">
      <alignment horizontal="center"/>
    </xf>
    <xf numFmtId="0" fontId="0" fillId="10" borderId="42" xfId="0" applyFill="1" applyBorder="1" applyAlignment="1">
      <alignment horizontal="center"/>
    </xf>
    <xf numFmtId="0" fontId="0" fillId="0" borderId="42" xfId="0" applyBorder="1" applyAlignment="1">
      <alignment horizontal="right"/>
    </xf>
    <xf numFmtId="0" fontId="0" fillId="0" borderId="42" xfId="0" applyBorder="1"/>
    <xf numFmtId="10" fontId="27" fillId="0" borderId="42" xfId="0" applyNumberFormat="1" applyFont="1" applyBorder="1"/>
    <xf numFmtId="0" fontId="0" fillId="0" borderId="42" xfId="0" applyBorder="1" applyAlignment="1">
      <alignment horizontal="center"/>
    </xf>
    <xf numFmtId="170" fontId="27" fillId="10" borderId="42" xfId="0" applyNumberFormat="1" applyFont="1" applyFill="1" applyBorder="1" applyAlignment="1">
      <alignment horizontal="center"/>
    </xf>
    <xf numFmtId="0" fontId="27" fillId="10" borderId="0" xfId="0" applyFont="1" applyFill="1" applyAlignment="1">
      <alignment horizontal="center"/>
    </xf>
    <xf numFmtId="168" fontId="6" fillId="11" borderId="9" xfId="1" applyNumberFormat="1" applyFont="1" applyFill="1" applyBorder="1" applyAlignment="1">
      <alignment horizontal="right" vertical="center"/>
    </xf>
    <xf numFmtId="167" fontId="6" fillId="11" borderId="9" xfId="2" applyNumberFormat="1" applyFont="1" applyFill="1" applyBorder="1" applyAlignment="1">
      <alignment horizontal="right" vertical="center"/>
    </xf>
    <xf numFmtId="10" fontId="6" fillId="4" borderId="9" xfId="3" applyNumberFormat="1" applyFont="1" applyFill="1" applyBorder="1" applyAlignment="1">
      <alignment horizontal="right" vertical="center"/>
    </xf>
    <xf numFmtId="0" fontId="19" fillId="4" borderId="11" xfId="4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167" fontId="31" fillId="12" borderId="9" xfId="0" applyNumberFormat="1" applyFont="1" applyFill="1" applyBorder="1" applyAlignment="1">
      <alignment horizontal="right" vertical="center"/>
    </xf>
    <xf numFmtId="167" fontId="30" fillId="12" borderId="9" xfId="0" applyNumberFormat="1" applyFont="1" applyFill="1" applyBorder="1" applyAlignment="1">
      <alignment horizontal="right" vertical="center"/>
    </xf>
    <xf numFmtId="0" fontId="6" fillId="3" borderId="9" xfId="0" applyFont="1" applyFill="1" applyBorder="1" applyAlignment="1">
      <alignment vertical="top"/>
    </xf>
    <xf numFmtId="0" fontId="6" fillId="3" borderId="9" xfId="0" applyFont="1" applyFill="1" applyBorder="1" applyAlignment="1">
      <alignment vertical="center"/>
    </xf>
    <xf numFmtId="167" fontId="20" fillId="4" borderId="8" xfId="0" applyNumberFormat="1" applyFont="1" applyFill="1" applyBorder="1" applyAlignment="1">
      <alignment horizontal="center" vertical="center"/>
    </xf>
    <xf numFmtId="167" fontId="32" fillId="12" borderId="9" xfId="0" applyNumberFormat="1" applyFont="1" applyFill="1" applyBorder="1" applyAlignment="1">
      <alignment horizontal="right" vertical="center"/>
    </xf>
    <xf numFmtId="167" fontId="33" fillId="12" borderId="9" xfId="0" applyNumberFormat="1" applyFont="1" applyFill="1" applyBorder="1" applyAlignment="1">
      <alignment horizontal="right" vertical="center"/>
    </xf>
    <xf numFmtId="0" fontId="19" fillId="4" borderId="11" xfId="5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49" fontId="9" fillId="14" borderId="10" xfId="2" applyNumberFormat="1" applyFont="1" applyFill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center" vertical="center"/>
    </xf>
    <xf numFmtId="10" fontId="28" fillId="4" borderId="26" xfId="3" applyNumberFormat="1" applyFont="1" applyFill="1" applyBorder="1" applyAlignment="1">
      <alignment horizontal="center" vertical="center"/>
    </xf>
    <xf numFmtId="10" fontId="28" fillId="4" borderId="43" xfId="3" applyNumberFormat="1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 wrapText="1"/>
    </xf>
    <xf numFmtId="0" fontId="10" fillId="2" borderId="46" xfId="0" applyFont="1" applyFill="1" applyBorder="1" applyAlignment="1">
      <alignment horizontal="center" vertical="center" wrapText="1"/>
    </xf>
    <xf numFmtId="0" fontId="10" fillId="2" borderId="47" xfId="0" applyFont="1" applyFill="1" applyBorder="1" applyAlignment="1">
      <alignment horizontal="center" vertical="center" wrapText="1"/>
    </xf>
    <xf numFmtId="0" fontId="10" fillId="2" borderId="48" xfId="0" applyFont="1" applyFill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49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167" fontId="24" fillId="4" borderId="40" xfId="3" applyNumberFormat="1" applyFont="1" applyFill="1" applyBorder="1" applyAlignment="1">
      <alignment horizontal="center" vertical="center"/>
    </xf>
    <xf numFmtId="167" fontId="24" fillId="4" borderId="41" xfId="3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167" fontId="28" fillId="9" borderId="26" xfId="2" applyNumberFormat="1" applyFont="1" applyFill="1" applyBorder="1" applyAlignment="1">
      <alignment horizontal="center" vertical="center"/>
    </xf>
    <xf numFmtId="167" fontId="28" fillId="9" borderId="43" xfId="2" applyNumberFormat="1" applyFont="1" applyFill="1" applyBorder="1" applyAlignment="1">
      <alignment horizontal="center" vertical="center"/>
    </xf>
    <xf numFmtId="167" fontId="24" fillId="4" borderId="27" xfId="2" applyNumberFormat="1" applyFont="1" applyFill="1" applyBorder="1" applyAlignment="1">
      <alignment horizontal="center" vertical="center"/>
    </xf>
    <xf numFmtId="167" fontId="24" fillId="4" borderId="28" xfId="2" applyNumberFormat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top" wrapText="1"/>
    </xf>
    <xf numFmtId="0" fontId="16" fillId="2" borderId="2" xfId="0" applyFont="1" applyFill="1" applyBorder="1" applyAlignment="1">
      <alignment horizontal="center" vertical="top" wrapText="1"/>
    </xf>
    <xf numFmtId="0" fontId="16" fillId="2" borderId="3" xfId="0" applyFont="1" applyFill="1" applyBorder="1" applyAlignment="1">
      <alignment horizontal="center" vertical="top" wrapText="1"/>
    </xf>
    <xf numFmtId="167" fontId="24" fillId="3" borderId="39" xfId="3" applyNumberFormat="1" applyFont="1" applyFill="1" applyBorder="1" applyAlignment="1">
      <alignment horizontal="center" vertical="center"/>
    </xf>
    <xf numFmtId="167" fontId="24" fillId="3" borderId="50" xfId="3" applyNumberFormat="1" applyFont="1" applyFill="1" applyBorder="1" applyAlignment="1">
      <alignment horizontal="center" vertical="center"/>
    </xf>
    <xf numFmtId="167" fontId="24" fillId="3" borderId="51" xfId="3" applyNumberFormat="1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vertical="center"/>
    </xf>
    <xf numFmtId="167" fontId="13" fillId="6" borderId="9" xfId="0" applyNumberFormat="1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top" wrapText="1"/>
    </xf>
    <xf numFmtId="0" fontId="17" fillId="2" borderId="7" xfId="0" applyFont="1" applyFill="1" applyBorder="1" applyAlignment="1">
      <alignment horizontal="center" vertical="top" wrapText="1"/>
    </xf>
    <xf numFmtId="0" fontId="15" fillId="2" borderId="14" xfId="0" applyFont="1" applyFill="1" applyBorder="1" applyAlignment="1">
      <alignment horizontal="center" vertical="top" wrapText="1"/>
    </xf>
    <xf numFmtId="0" fontId="15" fillId="2" borderId="7" xfId="0" applyFont="1" applyFill="1" applyBorder="1" applyAlignment="1">
      <alignment horizontal="center" vertical="top" wrapText="1"/>
    </xf>
    <xf numFmtId="0" fontId="15" fillId="2" borderId="21" xfId="0" applyFont="1" applyFill="1" applyBorder="1" applyAlignment="1">
      <alignment horizontal="center" vertical="top" wrapText="1"/>
    </xf>
    <xf numFmtId="0" fontId="17" fillId="2" borderId="33" xfId="0" applyFont="1" applyFill="1" applyBorder="1" applyAlignment="1">
      <alignment horizontal="center" vertical="center" wrapText="1"/>
    </xf>
    <xf numFmtId="0" fontId="17" fillId="2" borderId="34" xfId="0" applyFont="1" applyFill="1" applyBorder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9" fillId="2" borderId="54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55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 wrapText="1"/>
    </xf>
    <xf numFmtId="0" fontId="23" fillId="2" borderId="25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2" borderId="45" xfId="0" applyFont="1" applyFill="1" applyBorder="1" applyAlignment="1">
      <alignment horizontal="center" vertical="top" wrapText="1"/>
    </xf>
    <xf numFmtId="0" fontId="11" fillId="2" borderId="46" xfId="0" applyFont="1" applyFill="1" applyBorder="1" applyAlignment="1">
      <alignment horizontal="center" vertical="top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26" fillId="10" borderId="42" xfId="0" applyFont="1" applyFill="1" applyBorder="1" applyAlignment="1">
      <alignment horizontal="center" wrapText="1"/>
    </xf>
    <xf numFmtId="0" fontId="0" fillId="10" borderId="26" xfId="0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29" fillId="10" borderId="52" xfId="0" applyFont="1" applyFill="1" applyBorder="1" applyAlignment="1">
      <alignment horizontal="center"/>
    </xf>
    <xf numFmtId="0" fontId="29" fillId="10" borderId="5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</cellXfs>
  <cellStyles count="6">
    <cellStyle name="Hiperligação" xfId="4" builtinId="8"/>
    <cellStyle name="Hyperlink" xfId="5" xr:uid="{00000000-000B-0000-0000-000008000000}"/>
    <cellStyle name="Moeda" xfId="2" builtinId="4"/>
    <cellStyle name="Normal" xfId="0" builtinId="0"/>
    <cellStyle name="Percentagem" xfId="3" builtinId="5"/>
    <cellStyle name="Vírgula" xfId="1" builtinId="3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7" formatCode="#,##0.00\ &quot;€&quot;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7" formatCode="#,##0.00\ &quot;€&quot;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70" formatCode="0.0%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70" formatCode="0.0%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Tahoma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top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color rgb="FFE60000"/>
      </font>
    </dxf>
    <dxf>
      <font>
        <color theme="9" tint="-0.24994659260841701"/>
      </font>
    </dxf>
    <dxf>
      <font>
        <color theme="9" tint="-0.499984740745262"/>
      </font>
    </dxf>
    <dxf>
      <font>
        <color rgb="FFE60000"/>
      </font>
    </dxf>
    <dxf>
      <font>
        <b val="0"/>
        <i val="0"/>
        <color rgb="FFE60000"/>
      </font>
    </dxf>
    <dxf>
      <font>
        <color theme="9" tint="-0.24994659260841701"/>
      </font>
    </dxf>
    <dxf>
      <font>
        <color theme="9" tint="-0.499984740745262"/>
      </font>
    </dxf>
    <dxf>
      <font>
        <color rgb="FFE60000"/>
      </font>
    </dxf>
    <dxf>
      <font>
        <color theme="9" tint="-0.499984740745262"/>
      </font>
    </dxf>
    <dxf>
      <font>
        <color rgb="FFE60000"/>
      </font>
    </dxf>
    <dxf>
      <font>
        <color theme="9" tint="-0.499984740745262"/>
      </font>
    </dxf>
    <dxf>
      <font>
        <color rgb="FFE60000"/>
      </font>
    </dxf>
    <dxf>
      <fill>
        <patternFill>
          <bgColor rgb="FF00B050"/>
        </patternFill>
      </fill>
    </dxf>
    <dxf>
      <fill>
        <patternFill>
          <bgColor rgb="FFFF3F3F"/>
        </patternFill>
      </fill>
    </dxf>
    <dxf>
      <fill>
        <patternFill>
          <bgColor rgb="FF0DA334"/>
        </patternFill>
      </fill>
    </dxf>
    <dxf>
      <font>
        <color rgb="FF9A7200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color theme="1"/>
      </font>
    </dxf>
  </dxfs>
  <tableStyles count="1" defaultTableStyle="TableStyleMedium2" defaultPivotStyle="PivotStyleLight16">
    <tableStyle name="Estilo de Tabela 1" pivot="0" count="1" xr9:uid="{C1B2C99E-5765-4BD2-8A85-97D6BA4122FF}">
      <tableStyleElement type="headerRow" dxfId="31"/>
    </tableStyle>
  </tableStyles>
  <colors>
    <mruColors>
      <color rgb="FFF0DCC6"/>
      <color rgb="FFD1C2AB"/>
      <color rgb="FF9A7200"/>
      <color rgb="FFFFDA66"/>
      <color rgb="FFE60000"/>
      <color rgb="FF005426"/>
      <color rgb="FF007635"/>
      <color rgb="FF009A46"/>
      <color rgb="FF0DA334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rtl="0"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19050" cap="rnd" cmpd="sng" algn="ctr">
              <a:solidFill>
                <a:schemeClr val="dk1">
                  <a:tint val="885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dk1">
                  <a:tint val="88500"/>
                </a:schemeClr>
              </a:solidFill>
              <a:ln w="6350" cap="flat" cmpd="sng" algn="ctr">
                <a:solidFill>
                  <a:schemeClr val="dk1">
                    <a:tint val="88500"/>
                  </a:schemeClr>
                </a:solidFill>
                <a:prstDash val="solid"/>
                <a:round/>
              </a:ln>
              <a:effectLst/>
            </c:spPr>
          </c:marker>
          <c:cat>
            <c:strRef>
              <c:f>'Registo de operações'!$F$11:$F$1048576</c:f>
              <c:strCache>
                <c:ptCount val="81"/>
                <c:pt idx="0">
                  <c:v>22 de Janeiro</c:v>
                </c:pt>
                <c:pt idx="1">
                  <c:v>1 de Fevereiro</c:v>
                </c:pt>
                <c:pt idx="2">
                  <c:v>1 de Fevereiro</c:v>
                </c:pt>
                <c:pt idx="3">
                  <c:v>7 de Fevereiro</c:v>
                </c:pt>
                <c:pt idx="4">
                  <c:v>19 de Março</c:v>
                </c:pt>
                <c:pt idx="5">
                  <c:v>21 de Março</c:v>
                </c:pt>
                <c:pt idx="6">
                  <c:v>26 de Março</c:v>
                </c:pt>
                <c:pt idx="7">
                  <c:v>28 de Março</c:v>
                </c:pt>
                <c:pt idx="8">
                  <c:v>2 de Arbil</c:v>
                </c:pt>
                <c:pt idx="9">
                  <c:v>3 de Abril</c:v>
                </c:pt>
                <c:pt idx="10">
                  <c:v>4 de Abril</c:v>
                </c:pt>
                <c:pt idx="11">
                  <c:v>5 de Abril</c:v>
                </c:pt>
                <c:pt idx="12">
                  <c:v>5 de Abril</c:v>
                </c:pt>
                <c:pt idx="13">
                  <c:v>9 de Abril</c:v>
                </c:pt>
                <c:pt idx="14">
                  <c:v>9 de Abril</c:v>
                </c:pt>
                <c:pt idx="15">
                  <c:v>10 de Abril</c:v>
                </c:pt>
                <c:pt idx="16">
                  <c:v>10 de Abril</c:v>
                </c:pt>
                <c:pt idx="17">
                  <c:v>10 de Abril</c:v>
                </c:pt>
                <c:pt idx="18">
                  <c:v>6 de Maio</c:v>
                </c:pt>
                <c:pt idx="19">
                  <c:v>7 de Maio</c:v>
                </c:pt>
                <c:pt idx="20">
                  <c:v>7 de Maio</c:v>
                </c:pt>
                <c:pt idx="21">
                  <c:v>8 de Maio</c:v>
                </c:pt>
                <c:pt idx="22">
                  <c:v>9 de Maio</c:v>
                </c:pt>
                <c:pt idx="23">
                  <c:v>13 de Maio</c:v>
                </c:pt>
                <c:pt idx="24">
                  <c:v>13 de Maio</c:v>
                </c:pt>
                <c:pt idx="25">
                  <c:v>20 de Maio</c:v>
                </c:pt>
                <c:pt idx="26">
                  <c:v>27 de Maio</c:v>
                </c:pt>
                <c:pt idx="27">
                  <c:v>30 de Maio</c:v>
                </c:pt>
                <c:pt idx="28">
                  <c:v>3 de Junho</c:v>
                </c:pt>
                <c:pt idx="29">
                  <c:v>3 de Junho</c:v>
                </c:pt>
                <c:pt idx="30">
                  <c:v>3 de Junho</c:v>
                </c:pt>
                <c:pt idx="31">
                  <c:v>4 de Junho</c:v>
                </c:pt>
                <c:pt idx="32">
                  <c:v>6 de Junho</c:v>
                </c:pt>
                <c:pt idx="33">
                  <c:v>6 de Junho</c:v>
                </c:pt>
                <c:pt idx="34">
                  <c:v>7 de Junho</c:v>
                </c:pt>
                <c:pt idx="35">
                  <c:v>12 de Junho</c:v>
                </c:pt>
                <c:pt idx="36">
                  <c:v>13 de Junho</c:v>
                </c:pt>
                <c:pt idx="37">
                  <c:v>14 de Junho</c:v>
                </c:pt>
                <c:pt idx="38">
                  <c:v>14 de Junho</c:v>
                </c:pt>
                <c:pt idx="39">
                  <c:v>17 de Junho</c:v>
                </c:pt>
                <c:pt idx="40">
                  <c:v>17 de Junho</c:v>
                </c:pt>
                <c:pt idx="41">
                  <c:v>18 de Junho</c:v>
                </c:pt>
                <c:pt idx="42">
                  <c:v>19 de Junho</c:v>
                </c:pt>
                <c:pt idx="43">
                  <c:v>19 de Junho</c:v>
                </c:pt>
                <c:pt idx="44">
                  <c:v>19 de Junho</c:v>
                </c:pt>
                <c:pt idx="45">
                  <c:v>19 de Junho</c:v>
                </c:pt>
                <c:pt idx="46">
                  <c:v>20 de Junho</c:v>
                </c:pt>
                <c:pt idx="47">
                  <c:v>24 de Junho</c:v>
                </c:pt>
                <c:pt idx="48">
                  <c:v>24 de Junho</c:v>
                </c:pt>
                <c:pt idx="49">
                  <c:v>24 de Junho</c:v>
                </c:pt>
                <c:pt idx="50">
                  <c:v>25 de Junho</c:v>
                </c:pt>
                <c:pt idx="51">
                  <c:v>26 de Junho</c:v>
                </c:pt>
                <c:pt idx="52">
                  <c:v>26 de Junho</c:v>
                </c:pt>
                <c:pt idx="53">
                  <c:v>27 de Junho</c:v>
                </c:pt>
                <c:pt idx="54">
                  <c:v>1 de Julho</c:v>
                </c:pt>
                <c:pt idx="55">
                  <c:v>2 de Julho</c:v>
                </c:pt>
                <c:pt idx="56">
                  <c:v>3 de Julho</c:v>
                </c:pt>
                <c:pt idx="57">
                  <c:v>3 de Julho</c:v>
                </c:pt>
                <c:pt idx="58">
                  <c:v>4 de Julho</c:v>
                </c:pt>
                <c:pt idx="59">
                  <c:v>15 de Julho</c:v>
                </c:pt>
                <c:pt idx="60">
                  <c:v>17 de Julho</c:v>
                </c:pt>
                <c:pt idx="61">
                  <c:v>18 de Junho</c:v>
                </c:pt>
                <c:pt idx="62">
                  <c:v>18 de Junho</c:v>
                </c:pt>
                <c:pt idx="63">
                  <c:v>22 de Julho</c:v>
                </c:pt>
                <c:pt idx="64">
                  <c:v>22 de Julho</c:v>
                </c:pt>
                <c:pt idx="65">
                  <c:v>22 de Julho</c:v>
                </c:pt>
                <c:pt idx="66">
                  <c:v>22 de Julho</c:v>
                </c:pt>
                <c:pt idx="67">
                  <c:v>23 de Julho</c:v>
                </c:pt>
                <c:pt idx="68">
                  <c:v>23 de Julho</c:v>
                </c:pt>
                <c:pt idx="69">
                  <c:v>24 de Julho</c:v>
                </c:pt>
                <c:pt idx="70">
                  <c:v>25 de Julho</c:v>
                </c:pt>
                <c:pt idx="71">
                  <c:v>25 de Julho</c:v>
                </c:pt>
                <c:pt idx="72">
                  <c:v>26 de Julho</c:v>
                </c:pt>
                <c:pt idx="73">
                  <c:v>26 de Julho</c:v>
                </c:pt>
                <c:pt idx="74">
                  <c:v>29 de Julho</c:v>
                </c:pt>
                <c:pt idx="75">
                  <c:v>30 de Julho</c:v>
                </c:pt>
                <c:pt idx="76">
                  <c:v>31 de Julho</c:v>
                </c:pt>
                <c:pt idx="77">
                  <c:v>1 de Agosto</c:v>
                </c:pt>
                <c:pt idx="78">
                  <c:v>2 de Agosto</c:v>
                </c:pt>
                <c:pt idx="79">
                  <c:v>2 de Agosto</c:v>
                </c:pt>
                <c:pt idx="80">
                  <c:v>5 de Agosto </c:v>
                </c:pt>
              </c:strCache>
            </c:strRef>
          </c:cat>
          <c:val>
            <c:numRef>
              <c:f>'Registo de operações'!$Q$11:$Q$211</c:f>
              <c:numCache>
                <c:formatCode>#,##0.00\ "€"</c:formatCode>
                <c:ptCount val="201"/>
                <c:pt idx="0">
                  <c:v>10000</c:v>
                </c:pt>
                <c:pt idx="1">
                  <c:v>9898.7000000000007</c:v>
                </c:pt>
                <c:pt idx="2">
                  <c:v>9785.7330000000002</c:v>
                </c:pt>
                <c:pt idx="3">
                  <c:v>9669.23567</c:v>
                </c:pt>
                <c:pt idx="4">
                  <c:v>9550.3833133000007</c:v>
                </c:pt>
                <c:pt idx="5">
                  <c:v>9768.7111937658156</c:v>
                </c:pt>
                <c:pt idx="6">
                  <c:v>10044.343818385067</c:v>
                </c:pt>
                <c:pt idx="7">
                  <c:v>10200.013818385067</c:v>
                </c:pt>
                <c:pt idx="8">
                  <c:v>10090.033680201215</c:v>
                </c:pt>
                <c:pt idx="9">
                  <c:v>10149.673680201215</c:v>
                </c:pt>
                <c:pt idx="10">
                  <c:v>10121.933680201215</c:v>
                </c:pt>
                <c:pt idx="11">
                  <c:v>10115.833680201215</c:v>
                </c:pt>
                <c:pt idx="12">
                  <c:v>10050.863680201215</c:v>
                </c:pt>
                <c:pt idx="13">
                  <c:v>10041.003680201215</c:v>
                </c:pt>
                <c:pt idx="14">
                  <c:v>9929.3536433992031</c:v>
                </c:pt>
                <c:pt idx="15">
                  <c:v>10101.193643399203</c:v>
                </c:pt>
                <c:pt idx="16">
                  <c:v>10075.403643399202</c:v>
                </c:pt>
                <c:pt idx="17">
                  <c:v>9995.4936433992025</c:v>
                </c:pt>
                <c:pt idx="18">
                  <c:v>9929.4936433992025</c:v>
                </c:pt>
                <c:pt idx="19">
                  <c:v>10021.70857983325</c:v>
                </c:pt>
                <c:pt idx="20">
                  <c:v>10117.390007347563</c:v>
                </c:pt>
                <c:pt idx="21">
                  <c:v>10007.396107274088</c:v>
                </c:pt>
                <c:pt idx="22">
                  <c:v>9900.6421462013459</c:v>
                </c:pt>
                <c:pt idx="23">
                  <c:v>9794.6757247393325</c:v>
                </c:pt>
                <c:pt idx="24">
                  <c:v>9689.3289674919397</c:v>
                </c:pt>
                <c:pt idx="25">
                  <c:v>9586.8256778170198</c:v>
                </c:pt>
                <c:pt idx="26">
                  <c:v>9739.2397837695971</c:v>
                </c:pt>
                <c:pt idx="27">
                  <c:v>9788.1397837695968</c:v>
                </c:pt>
                <c:pt idx="28">
                  <c:v>9876.921181607293</c:v>
                </c:pt>
                <c:pt idx="29">
                  <c:v>9808.5211816072933</c:v>
                </c:pt>
                <c:pt idx="30">
                  <c:v>9701.6159697912208</c:v>
                </c:pt>
                <c:pt idx="31">
                  <c:v>9693.7159697912211</c:v>
                </c:pt>
                <c:pt idx="32">
                  <c:v>9587.7688100933083</c:v>
                </c:pt>
                <c:pt idx="33">
                  <c:v>9483.2711219923749</c:v>
                </c:pt>
                <c:pt idx="34">
                  <c:v>9667.836544432259</c:v>
                </c:pt>
                <c:pt idx="35">
                  <c:v>9565.2581789879368</c:v>
                </c:pt>
                <c:pt idx="36">
                  <c:v>9743.6433425677624</c:v>
                </c:pt>
                <c:pt idx="37">
                  <c:v>9634.106909142085</c:v>
                </c:pt>
                <c:pt idx="38">
                  <c:v>9632.6269091420854</c:v>
                </c:pt>
                <c:pt idx="39">
                  <c:v>9766.4699622806675</c:v>
                </c:pt>
                <c:pt idx="40">
                  <c:v>9652.0052626578599</c:v>
                </c:pt>
                <c:pt idx="41">
                  <c:v>9796.6642669172252</c:v>
                </c:pt>
                <c:pt idx="42">
                  <c:v>9904.0106945228035</c:v>
                </c:pt>
                <c:pt idx="43">
                  <c:v>9797.7705875775755</c:v>
                </c:pt>
                <c:pt idx="44">
                  <c:v>9742.4705875775762</c:v>
                </c:pt>
                <c:pt idx="45">
                  <c:v>9614.7858817018005</c:v>
                </c:pt>
                <c:pt idx="46">
                  <c:v>9518.6380228847829</c:v>
                </c:pt>
                <c:pt idx="47">
                  <c:v>9423.4116426559358</c:v>
                </c:pt>
                <c:pt idx="48">
                  <c:v>9322.5575262293769</c:v>
                </c:pt>
                <c:pt idx="49">
                  <c:v>9547.66318357001</c:v>
                </c:pt>
                <c:pt idx="50">
                  <c:v>9558.1831835700104</c:v>
                </c:pt>
                <c:pt idx="51">
                  <c:v>9709.0045042846923</c:v>
                </c:pt>
                <c:pt idx="52">
                  <c:v>9611.9144592418452</c:v>
                </c:pt>
                <c:pt idx="53">
                  <c:v>9717.1064276018533</c:v>
                </c:pt>
                <c:pt idx="54">
                  <c:v>9907.7485561538906</c:v>
                </c:pt>
                <c:pt idx="55">
                  <c:v>9931.9685561538899</c:v>
                </c:pt>
                <c:pt idx="56">
                  <c:v>10106.703867362161</c:v>
                </c:pt>
                <c:pt idx="57">
                  <c:v>10154.223867362161</c:v>
                </c:pt>
                <c:pt idx="58">
                  <c:v>10300.183867362161</c:v>
                </c:pt>
                <c:pt idx="59">
                  <c:v>10192.042028688538</c:v>
                </c:pt>
                <c:pt idx="60">
                  <c:v>10084.701608401652</c:v>
                </c:pt>
                <c:pt idx="61">
                  <c:v>9976.7545923176349</c:v>
                </c:pt>
                <c:pt idx="62">
                  <c:v>9869.6270463944584</c:v>
                </c:pt>
                <c:pt idx="63">
                  <c:v>9767.2507759305136</c:v>
                </c:pt>
                <c:pt idx="64">
                  <c:v>9661.7982681712092</c:v>
                </c:pt>
                <c:pt idx="65">
                  <c:v>9557.6802854894977</c:v>
                </c:pt>
                <c:pt idx="66">
                  <c:v>9743.4938911992867</c:v>
                </c:pt>
                <c:pt idx="67">
                  <c:v>9910.9793836844365</c:v>
                </c:pt>
                <c:pt idx="68">
                  <c:v>9807.0895898475919</c:v>
                </c:pt>
                <c:pt idx="69">
                  <c:v>9703.0586939491168</c:v>
                </c:pt>
                <c:pt idx="70">
                  <c:v>9910.8760316339176</c:v>
                </c:pt>
                <c:pt idx="71">
                  <c:v>9805.2872713175784</c:v>
                </c:pt>
                <c:pt idx="72">
                  <c:v>9974.3103224551396</c:v>
                </c:pt>
                <c:pt idx="73">
                  <c:v>9869.5872192305887</c:v>
                </c:pt>
                <c:pt idx="74">
                  <c:v>9764.1113470382825</c:v>
                </c:pt>
                <c:pt idx="75">
                  <c:v>9916.2381564276438</c:v>
                </c:pt>
                <c:pt idx="76">
                  <c:v>9813.9157748633679</c:v>
                </c:pt>
                <c:pt idx="77">
                  <c:v>9708.2166171147346</c:v>
                </c:pt>
                <c:pt idx="78">
                  <c:v>9608.024450943587</c:v>
                </c:pt>
                <c:pt idx="79">
                  <c:v>9506.6442064341518</c:v>
                </c:pt>
                <c:pt idx="80">
                  <c:v>9405.6377643698106</c:v>
                </c:pt>
                <c:pt idx="81">
                  <c:v>9375.6377643698106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4B7-426E-BCE7-D43FD8862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tickLblSkip val="1"/>
        <c:noMultiLvlLbl val="1"/>
      </c:catAx>
      <c:valAx>
        <c:axId val="11090265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#,##0\ &quot;€&quot;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01120"/>
        <c:crosses val="autoZero"/>
        <c:crossBetween val="between"/>
        <c:majorUnit val="500"/>
      </c:valAx>
      <c:spPr>
        <a:solidFill>
          <a:schemeClr val="accent4">
            <a:lumMod val="40000"/>
            <a:lumOff val="60000"/>
          </a:schemeClr>
        </a:solidFill>
        <a:ln>
          <a:solidFill>
            <a:schemeClr val="accent4"/>
          </a:solidFill>
        </a:ln>
        <a:effectLst/>
      </c:spPr>
    </c:plotArea>
    <c:plotVisOnly val="1"/>
    <c:dispBlanksAs val="zero"/>
    <c:showDLblsOverMax val="0"/>
  </c:chart>
  <c:spPr>
    <a:solidFill>
      <a:srgbClr val="FFC000"/>
    </a:solidFill>
    <a:ln w="6350" cap="flat" cmpd="sng" algn="ctr">
      <a:noFill/>
      <a:prstDash val="solid"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" l="0.7" r="0.7" t="0.7" header="0.30000000000000004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32</xdr:col>
      <xdr:colOff>0</xdr:colOff>
      <xdr:row>51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70C9E3-260B-40D4-9CA4-10777C3034A9}" name="Tabela2" displayName="Tabela2" ref="A4:E204" headerRowDxfId="12" dataDxfId="11" tableBorderDxfId="10">
  <autoFilter ref="A4:E204" xr:uid="{79CB274B-D68A-43F7-B20B-BC2523F47EAE}"/>
  <tableColumns count="5">
    <tableColumn id="1" xr3:uid="{5434D259-5B20-454A-BDD7-F779083B22C5}" name="Nº_x000a_T" totalsRowLabel="Total" dataDxfId="8" totalsRowDxfId="9">
      <calculatedColumnFormula>'Registo de operações'!C11</calculatedColumnFormula>
    </tableColumn>
    <tableColumn id="17" xr3:uid="{1B98CE77-C543-45D1-A87B-0027DE0591D7}" name="Ganhos_x000a_%" dataDxfId="6" totalsRowDxfId="7">
      <calculatedColumnFormula>IF('Registo de operações'!AJ11&gt;0,'Registo de operações'!AJ11,"")</calculatedColumnFormula>
    </tableColumn>
    <tableColumn id="18" xr3:uid="{2C366BDD-9762-405D-99BD-CB8F399DC042}" name="Perdas_x000a_%" dataDxfId="4" totalsRowDxfId="5">
      <calculatedColumnFormula>IF('Registo de operações'!AJ11&lt;0,'Registo de operações'!AJ11,"")</calculatedColumnFormula>
    </tableColumn>
    <tableColumn id="19" xr3:uid="{2CB0E22C-E913-4C66-89A2-57668ACD0F14}" name="Ganhos_x000a_€" dataDxfId="2" totalsRowDxfId="3">
      <calculatedColumnFormula>IF('Registo de operações'!AG11&gt;0,'Registo de operações'!AG11,"")</calculatedColumnFormula>
    </tableColumn>
    <tableColumn id="20" xr3:uid="{56D5628F-24F9-4CB2-8943-3327B51BAEC2}" name="Perdas_x000a_€" totalsRowFunction="count" dataDxfId="0" totalsRowDxfId="1">
      <calculatedColumnFormula>IF('Registo de operações'!AG11&lt;0,'Registo de operações'!AG11,"")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dingview.com/x/94x9MT1R/" TargetMode="External"/><Relationship Id="rId13" Type="http://schemas.openxmlformats.org/officeDocument/2006/relationships/hyperlink" Target="https://www.tradingview.com/x/HTQJVpCD/" TargetMode="External"/><Relationship Id="rId18" Type="http://schemas.openxmlformats.org/officeDocument/2006/relationships/hyperlink" Target="https://www.tradingview.com/x/0X7hxDmB/" TargetMode="External"/><Relationship Id="rId3" Type="http://schemas.openxmlformats.org/officeDocument/2006/relationships/hyperlink" Target="https://www.tradingview.com/x/LRmyelR9/" TargetMode="External"/><Relationship Id="rId21" Type="http://schemas.openxmlformats.org/officeDocument/2006/relationships/comments" Target="../comments1.xml"/><Relationship Id="rId7" Type="http://schemas.openxmlformats.org/officeDocument/2006/relationships/hyperlink" Target="https://www.tradingview.com/x/be9hWbnh/" TargetMode="External"/><Relationship Id="rId12" Type="http://schemas.openxmlformats.org/officeDocument/2006/relationships/hyperlink" Target="https://www.tradingview.com/x/nZrYCW7B/" TargetMode="External"/><Relationship Id="rId17" Type="http://schemas.openxmlformats.org/officeDocument/2006/relationships/hyperlink" Target="https://www.tradingview.com/x/XKg9voZz/" TargetMode="External"/><Relationship Id="rId2" Type="http://schemas.openxmlformats.org/officeDocument/2006/relationships/hyperlink" Target="https://www.tradingview.com/x/XdhrMTgW/" TargetMode="External"/><Relationship Id="rId16" Type="http://schemas.openxmlformats.org/officeDocument/2006/relationships/hyperlink" Target="https://www.tradingview.com/x/Bbw397VQ/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s://www.tradingview.com/x/i1cAwdQj/" TargetMode="External"/><Relationship Id="rId6" Type="http://schemas.openxmlformats.org/officeDocument/2006/relationships/hyperlink" Target="https://www.tradingview.com/x/fWY5Mbho/" TargetMode="External"/><Relationship Id="rId11" Type="http://schemas.openxmlformats.org/officeDocument/2006/relationships/hyperlink" Target="https://www.tradingview.com/x/tlEXtznl/" TargetMode="External"/><Relationship Id="rId5" Type="http://schemas.openxmlformats.org/officeDocument/2006/relationships/hyperlink" Target="https://www.tradingview.com/x/L0ce8fmu/" TargetMode="External"/><Relationship Id="rId15" Type="http://schemas.openxmlformats.org/officeDocument/2006/relationships/hyperlink" Target="https://www.tradingview.com/x/CVLThegt/" TargetMode="External"/><Relationship Id="rId10" Type="http://schemas.openxmlformats.org/officeDocument/2006/relationships/hyperlink" Target="https://www.tradingview.com/x/iqrQ9xyA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tradingview.com/x/SalsxjGD/" TargetMode="External"/><Relationship Id="rId9" Type="http://schemas.openxmlformats.org/officeDocument/2006/relationships/hyperlink" Target="https://www.tradingview.com/x/MtOWiPsR/" TargetMode="External"/><Relationship Id="rId14" Type="http://schemas.openxmlformats.org/officeDocument/2006/relationships/hyperlink" Target="https://www.tradingview.com/x/TEfQSbzY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M223"/>
  <sheetViews>
    <sheetView tabSelected="1" zoomScale="110" zoomScaleNormal="110" workbookViewId="0">
      <pane ySplit="10" topLeftCell="A11" activePane="bottomLeft" state="frozen"/>
      <selection pane="bottomLeft" activeCell="F97" sqref="F97"/>
      <selection activeCell="L7" activeCellId="1" sqref="L7:S7 H3:I3"/>
    </sheetView>
  </sheetViews>
  <sheetFormatPr defaultColWidth="125.42578125" defaultRowHeight="12"/>
  <cols>
    <col min="1" max="1" width="0.85546875" style="66" bestFit="1" customWidth="1"/>
    <col min="2" max="2" width="14.28515625" style="19" customWidth="1"/>
    <col min="3" max="3" width="4.42578125" style="81" bestFit="1" customWidth="1"/>
    <col min="4" max="4" width="2.85546875" style="19" bestFit="1" customWidth="1"/>
    <col min="5" max="5" width="5.42578125" style="19" bestFit="1" customWidth="1"/>
    <col min="6" max="6" width="14.140625" style="19" customWidth="1"/>
    <col min="7" max="7" width="10.140625" style="19" customWidth="1"/>
    <col min="8" max="8" width="6.42578125" style="19" customWidth="1"/>
    <col min="9" max="9" width="9" style="19" bestFit="1" customWidth="1"/>
    <col min="10" max="10" width="8.140625" style="19" bestFit="1" customWidth="1"/>
    <col min="11" max="11" width="6.140625" style="19" bestFit="1" customWidth="1"/>
    <col min="12" max="12" width="5.28515625" style="19" customWidth="1"/>
    <col min="13" max="13" width="3.28515625" style="76" customWidth="1"/>
    <col min="14" max="14" width="1.85546875" style="19" bestFit="1" customWidth="1"/>
    <col min="15" max="15" width="2.140625" style="19" bestFit="1" customWidth="1"/>
    <col min="16" max="16" width="4.42578125" style="19" customWidth="1"/>
    <col min="17" max="17" width="12.28515625" style="19" customWidth="1"/>
    <col min="18" max="18" width="9" style="19" bestFit="1" customWidth="1"/>
    <col min="19" max="19" width="13" style="19" customWidth="1"/>
    <col min="20" max="20" width="6.85546875" style="19" customWidth="1"/>
    <col min="21" max="21" width="10.140625" style="83" bestFit="1" customWidth="1"/>
    <col min="22" max="22" width="14.5703125" style="83" customWidth="1"/>
    <col min="23" max="23" width="12.5703125" style="19" customWidth="1"/>
    <col min="24" max="24" width="13.5703125" style="19" customWidth="1"/>
    <col min="25" max="25" width="12.28515625" style="83" customWidth="1"/>
    <col min="26" max="26" width="10.7109375" style="19" customWidth="1"/>
    <col min="27" max="27" width="10.140625" style="19" customWidth="1"/>
    <col min="28" max="28" width="6.85546875" style="19" customWidth="1"/>
    <col min="29" max="29" width="14.28515625" style="19" customWidth="1"/>
    <col min="30" max="30" width="12.140625" style="83" customWidth="1"/>
    <col min="31" max="31" width="9" style="19" bestFit="1" customWidth="1"/>
    <col min="32" max="32" width="8.85546875" style="19" bestFit="1" customWidth="1"/>
    <col min="33" max="33" width="10.7109375" style="19" customWidth="1"/>
    <col min="34" max="34" width="9.140625" style="19" customWidth="1"/>
    <col min="35" max="35" width="8.85546875" style="19" customWidth="1"/>
    <col min="36" max="36" width="6.42578125" style="19" bestFit="1" customWidth="1"/>
    <col min="37" max="37" width="6.42578125" style="19" customWidth="1"/>
    <col min="38" max="38" width="10.42578125" style="81" customWidth="1"/>
    <col min="39" max="39" width="2.7109375" style="19" customWidth="1"/>
    <col min="40" max="43" width="125.42578125" style="19"/>
    <col min="44" max="44" width="7.140625" style="19" bestFit="1" customWidth="1"/>
    <col min="45" max="45" width="6.140625" style="19" bestFit="1" customWidth="1"/>
    <col min="46" max="46" width="6.7109375" style="19" customWidth="1"/>
    <col min="47" max="47" width="9.7109375" style="19" bestFit="1" customWidth="1"/>
    <col min="48" max="48" width="10.42578125" style="19" bestFit="1" customWidth="1"/>
    <col min="49" max="49" width="3.85546875" style="19" bestFit="1" customWidth="1"/>
    <col min="50" max="50" width="3.42578125" style="19" bestFit="1" customWidth="1"/>
    <col min="51" max="51" width="5.140625" style="19" bestFit="1" customWidth="1"/>
    <col min="52" max="52" width="6.42578125" style="19" bestFit="1" customWidth="1"/>
    <col min="53" max="53" width="6.85546875" style="19" bestFit="1" customWidth="1"/>
    <col min="54" max="54" width="13.85546875" style="19" bestFit="1" customWidth="1"/>
    <col min="55" max="55" width="1.85546875" style="19" bestFit="1" customWidth="1"/>
    <col min="56" max="57" width="5.140625" style="19" bestFit="1" customWidth="1"/>
    <col min="58" max="58" width="4.140625" style="19" bestFit="1" customWidth="1"/>
    <col min="59" max="59" width="1.85546875" style="19" bestFit="1" customWidth="1"/>
    <col min="60" max="60" width="8.28515625" style="19" bestFit="1" customWidth="1"/>
    <col min="61" max="61" width="7.28515625" style="19" bestFit="1" customWidth="1"/>
    <col min="62" max="62" width="5.85546875" style="19" customWidth="1"/>
    <col min="63" max="63" width="5.140625" style="19" bestFit="1" customWidth="1"/>
    <col min="64" max="64" width="4.28515625" style="19" bestFit="1" customWidth="1"/>
    <col min="65" max="16384" width="125.42578125" style="19"/>
  </cols>
  <sheetData>
    <row r="1" spans="1:65">
      <c r="A1" s="31"/>
      <c r="B1" s="31"/>
      <c r="C1" s="71"/>
      <c r="D1" s="31"/>
      <c r="E1" s="31"/>
      <c r="F1" s="32"/>
      <c r="G1" s="32"/>
      <c r="H1" s="32"/>
      <c r="I1" s="32"/>
      <c r="J1" s="31"/>
      <c r="K1" s="31"/>
      <c r="L1" s="32"/>
      <c r="M1" s="32"/>
      <c r="N1" s="32"/>
      <c r="O1" s="32"/>
      <c r="P1" s="32"/>
      <c r="Q1" s="32"/>
      <c r="R1" s="32"/>
      <c r="S1" s="32"/>
      <c r="T1" s="33"/>
      <c r="U1" s="33"/>
      <c r="V1" s="33"/>
      <c r="W1" s="73"/>
      <c r="X1" s="33"/>
      <c r="Y1" s="33"/>
      <c r="Z1" s="31"/>
      <c r="AA1" s="31"/>
      <c r="AB1" s="31"/>
      <c r="AC1" s="31"/>
      <c r="AD1" s="31"/>
      <c r="AE1" s="31"/>
      <c r="AF1" s="31"/>
      <c r="AG1" s="32"/>
      <c r="AH1" s="32"/>
      <c r="AI1" s="31"/>
      <c r="AJ1" s="31"/>
      <c r="AK1" s="31"/>
      <c r="AL1" s="71"/>
      <c r="AM1" s="31"/>
      <c r="AN1" s="31"/>
      <c r="AO1" s="31"/>
      <c r="AP1" s="31"/>
      <c r="AQ1" s="31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</row>
    <row r="2" spans="1:65" ht="12" customHeight="1">
      <c r="A2" s="31"/>
      <c r="B2" s="31"/>
      <c r="C2" s="71"/>
      <c r="D2" s="31"/>
      <c r="E2" s="31"/>
      <c r="F2" s="32"/>
      <c r="G2" s="32"/>
      <c r="H2" s="32"/>
      <c r="I2" s="32"/>
      <c r="J2" s="31"/>
      <c r="K2" s="31"/>
      <c r="L2" s="32"/>
      <c r="M2" s="142" t="s">
        <v>0</v>
      </c>
      <c r="N2" s="143"/>
      <c r="O2" s="143"/>
      <c r="P2" s="144"/>
      <c r="Q2" s="148" t="s">
        <v>1</v>
      </c>
      <c r="R2" s="150" t="s">
        <v>2</v>
      </c>
      <c r="S2" s="156" t="s">
        <v>3</v>
      </c>
      <c r="T2" s="156"/>
      <c r="U2" s="152" t="s">
        <v>4</v>
      </c>
      <c r="V2" s="148" t="s">
        <v>5</v>
      </c>
      <c r="W2" s="156"/>
      <c r="X2" s="158"/>
      <c r="Y2" s="148" t="s">
        <v>6</v>
      </c>
      <c r="Z2" s="156"/>
      <c r="AA2" s="158"/>
      <c r="AB2" s="31"/>
      <c r="AC2" s="159" t="s">
        <v>7</v>
      </c>
      <c r="AD2" s="159" t="s">
        <v>8</v>
      </c>
      <c r="AE2" s="134" t="s">
        <v>9</v>
      </c>
      <c r="AF2" s="134" t="s">
        <v>10</v>
      </c>
      <c r="AG2" s="134" t="s">
        <v>11</v>
      </c>
      <c r="AH2" s="31"/>
      <c r="AI2" s="31"/>
      <c r="AJ2" s="31"/>
      <c r="AK2" s="31"/>
      <c r="AL2" s="71"/>
      <c r="AM2" s="31"/>
      <c r="AN2" s="31"/>
      <c r="AO2" s="31"/>
      <c r="AP2" s="31"/>
      <c r="AQ2" s="31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</row>
    <row r="3" spans="1:65" ht="27" customHeight="1">
      <c r="A3" s="31"/>
      <c r="B3" s="31"/>
      <c r="C3" s="71"/>
      <c r="D3" s="31"/>
      <c r="E3" s="70" t="s">
        <v>12</v>
      </c>
      <c r="F3" s="69" t="s">
        <v>13</v>
      </c>
      <c r="G3" s="34" t="s">
        <v>14</v>
      </c>
      <c r="H3" s="35" t="s">
        <v>15</v>
      </c>
      <c r="I3" s="130" t="s">
        <v>16</v>
      </c>
      <c r="J3" s="31"/>
      <c r="K3" s="31"/>
      <c r="L3" s="32"/>
      <c r="M3" s="145"/>
      <c r="N3" s="146"/>
      <c r="O3" s="146"/>
      <c r="P3" s="147"/>
      <c r="Q3" s="149"/>
      <c r="R3" s="151"/>
      <c r="S3" s="157"/>
      <c r="T3" s="157"/>
      <c r="U3" s="153"/>
      <c r="V3" s="133" t="s">
        <v>14</v>
      </c>
      <c r="W3" s="132" t="s">
        <v>17</v>
      </c>
      <c r="X3" s="131" t="s">
        <v>5</v>
      </c>
      <c r="Y3" s="133" t="s">
        <v>14</v>
      </c>
      <c r="Z3" s="132" t="s">
        <v>17</v>
      </c>
      <c r="AA3" s="131" t="s">
        <v>5</v>
      </c>
      <c r="AB3" s="32"/>
      <c r="AC3" s="160"/>
      <c r="AD3" s="160"/>
      <c r="AE3" s="135"/>
      <c r="AF3" s="135"/>
      <c r="AG3" s="135"/>
      <c r="AH3" s="31"/>
      <c r="AI3" s="31"/>
      <c r="AJ3" s="31"/>
      <c r="AK3" s="31"/>
      <c r="AL3" s="71"/>
      <c r="AM3" s="36"/>
      <c r="AN3" s="36"/>
      <c r="AO3" s="36"/>
      <c r="AP3" s="36"/>
      <c r="AQ3" s="36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</row>
    <row r="4" spans="1:65" ht="15" customHeight="1">
      <c r="A4" s="31"/>
      <c r="B4" s="31"/>
      <c r="C4" s="71"/>
      <c r="D4" s="31"/>
      <c r="E4" s="85">
        <f>COUNTA(U11:U211)</f>
        <v>81</v>
      </c>
      <c r="F4" s="86">
        <f>G4/100%/(E4-I4)</f>
        <v>0.36486486486486486</v>
      </c>
      <c r="G4" s="87">
        <f>COUNTIF(M11:M211,"W")</f>
        <v>27</v>
      </c>
      <c r="H4" s="87">
        <f>COUNTIF(M11:M211,"L")</f>
        <v>47</v>
      </c>
      <c r="I4" s="88">
        <f>E4-G4-H4</f>
        <v>7</v>
      </c>
      <c r="J4" s="31"/>
      <c r="K4" s="31"/>
      <c r="L4" s="32"/>
      <c r="M4" s="181">
        <v>10000</v>
      </c>
      <c r="N4" s="182"/>
      <c r="O4" s="182"/>
      <c r="P4" s="183"/>
      <c r="Q4" s="93">
        <v>0</v>
      </c>
      <c r="R4" s="94">
        <f>SUM((X5)+(AD4)+(AC4))</f>
        <v>-624.36223563019371</v>
      </c>
      <c r="S4" s="154">
        <f>SUM((M4)+(Q4)+(R4))</f>
        <v>9375.637764369807</v>
      </c>
      <c r="T4" s="155"/>
      <c r="U4" s="95">
        <v>0.01</v>
      </c>
      <c r="V4" s="100">
        <f>Pontuação!B2</f>
        <v>0.43638742209316611</v>
      </c>
      <c r="W4" s="99">
        <f>Pontuação!C2</f>
        <v>-0.43733417281251907</v>
      </c>
      <c r="X4" s="92">
        <f>SUM(Tabela2[[Ganhos
%]:[Perdas
%]])</f>
        <v>-9.4675071935270598E-4</v>
      </c>
      <c r="Y4" s="100">
        <f>Pontuação!B3</f>
        <v>1.4546247403105537E-2</v>
      </c>
      <c r="Z4" s="99">
        <f>Pontuação!C3</f>
        <v>-8.9251872002554921E-3</v>
      </c>
      <c r="AA4" s="92">
        <f>AVERAGE(Tabela2[[Ganhos
%]:[Perdas
%]])</f>
        <v>-1.1984186320920329E-5</v>
      </c>
      <c r="AB4" s="31"/>
      <c r="AC4" s="173">
        <f>SUM(AE11:AE211)</f>
        <v>-564.38999999999987</v>
      </c>
      <c r="AD4" s="173">
        <f>SUM(AF11:AF211)</f>
        <v>0.24</v>
      </c>
      <c r="AE4" s="171">
        <f>SUM((V5)+(W5)+(AC4)+(AD4))</f>
        <v>-624.36223563019416</v>
      </c>
      <c r="AF4" s="140">
        <f>SUM((AE4*100)/(M4+Q4))/100</f>
        <v>-6.2436223563019422E-2</v>
      </c>
      <c r="AG4" s="140">
        <f>SUM(AK11:AK211)</f>
        <v>-5.8406775959851019E-2</v>
      </c>
      <c r="AH4" s="31"/>
      <c r="AI4" s="31"/>
      <c r="AJ4" s="31"/>
      <c r="AK4" s="31"/>
      <c r="AL4" s="71"/>
      <c r="AM4" s="37"/>
      <c r="AN4" s="37"/>
      <c r="AO4" s="37"/>
      <c r="AP4" s="37"/>
      <c r="AQ4" s="37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</row>
    <row r="5" spans="1:65" ht="15" customHeight="1">
      <c r="A5" s="32"/>
      <c r="B5" s="32"/>
      <c r="C5" s="72"/>
      <c r="D5" s="32"/>
      <c r="E5" s="32"/>
      <c r="F5" s="77"/>
      <c r="G5" s="32"/>
      <c r="H5" s="32"/>
      <c r="I5" s="32"/>
      <c r="J5" s="31"/>
      <c r="K5" s="32"/>
      <c r="L5" s="32"/>
      <c r="M5" s="32"/>
      <c r="N5" s="32"/>
      <c r="O5" s="32"/>
      <c r="P5" s="32"/>
      <c r="Q5" s="96"/>
      <c r="R5" s="96"/>
      <c r="S5" s="97"/>
      <c r="T5" s="97"/>
      <c r="U5" s="97"/>
      <c r="V5" s="89">
        <f>Pontuação!D2</f>
        <v>4242.6641264292257</v>
      </c>
      <c r="W5" s="90">
        <f>Pontuação!E2</f>
        <v>-4302.87636205942</v>
      </c>
      <c r="X5" s="91">
        <f>SUM(Tabela2[[Ganhos
€]:[Perdas
€]])</f>
        <v>-60.212235630193803</v>
      </c>
      <c r="Y5" s="89">
        <f>Pontuação!D3</f>
        <v>141.42213754764086</v>
      </c>
      <c r="Z5" s="90">
        <f>Pontuação!E3</f>
        <v>-87.813803307335107</v>
      </c>
      <c r="AA5" s="91">
        <f>AVERAGE(Tabela2[[Ganhos
€]:[Perdas
€]])</f>
        <v>-0.76218019785055446</v>
      </c>
      <c r="AB5" s="31"/>
      <c r="AC5" s="174"/>
      <c r="AD5" s="174"/>
      <c r="AE5" s="172"/>
      <c r="AF5" s="141"/>
      <c r="AG5" s="141"/>
      <c r="AH5" s="31"/>
      <c r="AI5" s="31"/>
      <c r="AJ5" s="31"/>
      <c r="AK5" s="31"/>
      <c r="AL5" s="72"/>
      <c r="AM5" s="38"/>
      <c r="AN5" s="38"/>
      <c r="AO5" s="38"/>
      <c r="AP5" s="38"/>
      <c r="AQ5" s="3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</row>
    <row r="6" spans="1:65">
      <c r="A6" s="31"/>
      <c r="B6" s="31"/>
      <c r="C6" s="71"/>
      <c r="D6" s="33"/>
      <c r="E6" s="33"/>
      <c r="F6" s="33"/>
      <c r="G6" s="33"/>
      <c r="H6" s="33"/>
      <c r="I6" s="33"/>
      <c r="J6" s="31"/>
      <c r="K6" s="33"/>
      <c r="L6" s="32"/>
      <c r="M6" s="32"/>
      <c r="N6" s="32"/>
      <c r="O6" s="32"/>
      <c r="P6" s="32"/>
      <c r="Q6" s="32"/>
      <c r="R6" s="31"/>
      <c r="S6" s="31"/>
      <c r="T6" s="33"/>
      <c r="U6" s="33"/>
      <c r="V6" s="33"/>
      <c r="W6" s="33"/>
      <c r="X6" s="33"/>
      <c r="Y6" s="33"/>
      <c r="Z6" s="31"/>
      <c r="AA6" s="31"/>
      <c r="AB6" s="31"/>
      <c r="AC6" s="31"/>
      <c r="AD6" s="31"/>
      <c r="AE6" s="31"/>
      <c r="AF6" s="31"/>
      <c r="AG6" s="32"/>
      <c r="AH6" s="32"/>
      <c r="AI6" s="31"/>
      <c r="AJ6" s="31"/>
      <c r="AK6" s="31"/>
      <c r="AL6" s="71"/>
      <c r="AM6" s="78"/>
      <c r="AN6" s="78"/>
      <c r="AO6" s="78"/>
      <c r="AP6" s="78"/>
      <c r="AQ6" s="7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</row>
    <row r="7" spans="1:65" ht="11.1" customHeight="1">
      <c r="A7" s="64"/>
      <c r="B7" s="139" t="s">
        <v>18</v>
      </c>
      <c r="C7" s="212" t="s">
        <v>19</v>
      </c>
      <c r="D7" s="215" t="s">
        <v>20</v>
      </c>
      <c r="E7" s="224" t="s">
        <v>21</v>
      </c>
      <c r="F7" s="221" t="s">
        <v>22</v>
      </c>
      <c r="G7" s="221" t="s">
        <v>23</v>
      </c>
      <c r="H7" s="221" t="s">
        <v>24</v>
      </c>
      <c r="I7" s="215" t="s">
        <v>25</v>
      </c>
      <c r="J7" s="215" t="s">
        <v>26</v>
      </c>
      <c r="K7" s="215" t="s">
        <v>27</v>
      </c>
      <c r="L7" s="218" t="s">
        <v>28</v>
      </c>
      <c r="M7" s="134" t="s">
        <v>29</v>
      </c>
      <c r="N7" s="148" t="s">
        <v>30</v>
      </c>
      <c r="O7" s="156" t="s">
        <v>31</v>
      </c>
      <c r="P7" s="158" t="s">
        <v>32</v>
      </c>
      <c r="Q7" s="178" t="s">
        <v>33</v>
      </c>
      <c r="R7" s="179"/>
      <c r="S7" s="179"/>
      <c r="T7" s="179"/>
      <c r="U7" s="180"/>
      <c r="V7" s="189" t="s">
        <v>34</v>
      </c>
      <c r="W7" s="190"/>
      <c r="X7" s="191"/>
      <c r="Y7" s="187" t="s">
        <v>35</v>
      </c>
      <c r="Z7" s="188"/>
      <c r="AA7" s="188"/>
      <c r="AB7" s="188"/>
      <c r="AC7" s="229" t="s">
        <v>36</v>
      </c>
      <c r="AD7" s="230"/>
      <c r="AE7" s="230"/>
      <c r="AF7" s="230"/>
      <c r="AG7" s="230"/>
      <c r="AH7" s="230"/>
      <c r="AI7" s="230"/>
      <c r="AJ7" s="230"/>
      <c r="AK7" s="129"/>
      <c r="AL7" s="201" t="s">
        <v>37</v>
      </c>
      <c r="AM7" s="17"/>
      <c r="AN7" s="17"/>
      <c r="AO7" s="17"/>
      <c r="AP7" s="17"/>
      <c r="AQ7" s="17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</row>
    <row r="8" spans="1:65" ht="10.5">
      <c r="A8" s="64"/>
      <c r="B8" s="139"/>
      <c r="C8" s="213"/>
      <c r="D8" s="216"/>
      <c r="E8" s="225"/>
      <c r="F8" s="222"/>
      <c r="G8" s="222"/>
      <c r="H8" s="222"/>
      <c r="I8" s="216"/>
      <c r="J8" s="216"/>
      <c r="K8" s="216"/>
      <c r="L8" s="219"/>
      <c r="M8" s="210"/>
      <c r="N8" s="149"/>
      <c r="O8" s="157"/>
      <c r="P8" s="175"/>
      <c r="Q8" s="177" t="s">
        <v>38</v>
      </c>
      <c r="R8" s="176" t="s">
        <v>39</v>
      </c>
      <c r="S8" s="176" t="s">
        <v>40</v>
      </c>
      <c r="T8" s="176" t="s">
        <v>41</v>
      </c>
      <c r="U8" s="167" t="s">
        <v>42</v>
      </c>
      <c r="V8" s="168" t="s">
        <v>43</v>
      </c>
      <c r="W8" s="161" t="s">
        <v>44</v>
      </c>
      <c r="X8" s="164" t="s">
        <v>45</v>
      </c>
      <c r="Y8" s="204" t="s">
        <v>35</v>
      </c>
      <c r="Z8" s="198" t="s">
        <v>44</v>
      </c>
      <c r="AA8" s="195" t="s">
        <v>46</v>
      </c>
      <c r="AB8" s="192" t="s">
        <v>47</v>
      </c>
      <c r="AC8" s="207" t="s">
        <v>48</v>
      </c>
      <c r="AD8" s="136" t="s">
        <v>49</v>
      </c>
      <c r="AE8" s="136" t="s">
        <v>50</v>
      </c>
      <c r="AF8" s="136" t="s">
        <v>51</v>
      </c>
      <c r="AG8" s="136" t="s">
        <v>52</v>
      </c>
      <c r="AH8" s="136" t="s">
        <v>53</v>
      </c>
      <c r="AI8" s="136" t="s">
        <v>54</v>
      </c>
      <c r="AJ8" s="136" t="s">
        <v>55</v>
      </c>
      <c r="AK8" s="231" t="s">
        <v>56</v>
      </c>
      <c r="AL8" s="202"/>
      <c r="AM8" s="17"/>
      <c r="AN8" s="17"/>
      <c r="AO8" s="17"/>
      <c r="AP8" s="17"/>
      <c r="AQ8" s="17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H8" s="184" t="s">
        <v>57</v>
      </c>
      <c r="BI8" s="186" t="s">
        <v>58</v>
      </c>
      <c r="BJ8" s="227" t="s">
        <v>59</v>
      </c>
      <c r="BK8" s="228"/>
      <c r="BL8" s="228"/>
    </row>
    <row r="9" spans="1:65" ht="15" customHeight="1">
      <c r="A9" s="64" t="s">
        <v>60</v>
      </c>
      <c r="B9" s="139"/>
      <c r="C9" s="213"/>
      <c r="D9" s="216"/>
      <c r="E9" s="225"/>
      <c r="F9" s="222"/>
      <c r="G9" s="222"/>
      <c r="H9" s="222"/>
      <c r="I9" s="216"/>
      <c r="J9" s="216"/>
      <c r="K9" s="216"/>
      <c r="L9" s="219"/>
      <c r="M9" s="210"/>
      <c r="N9" s="149"/>
      <c r="O9" s="157"/>
      <c r="P9" s="175"/>
      <c r="Q9" s="177"/>
      <c r="R9" s="176"/>
      <c r="S9" s="176"/>
      <c r="T9" s="176"/>
      <c r="U9" s="167"/>
      <c r="V9" s="169"/>
      <c r="W9" s="162"/>
      <c r="X9" s="165"/>
      <c r="Y9" s="205"/>
      <c r="Z9" s="199"/>
      <c r="AA9" s="196"/>
      <c r="AB9" s="193"/>
      <c r="AC9" s="208"/>
      <c r="AD9" s="137"/>
      <c r="AE9" s="137"/>
      <c r="AF9" s="137"/>
      <c r="AG9" s="137"/>
      <c r="AH9" s="137"/>
      <c r="AI9" s="137"/>
      <c r="AJ9" s="137"/>
      <c r="AK9" s="232"/>
      <c r="AL9" s="202"/>
      <c r="AM9" s="17"/>
      <c r="AN9" s="17"/>
      <c r="AO9" s="17"/>
      <c r="AP9" s="17"/>
      <c r="AQ9" s="17"/>
      <c r="AR9" s="67" t="s">
        <v>61</v>
      </c>
      <c r="AS9" s="67" t="s">
        <v>62</v>
      </c>
      <c r="AT9" s="67" t="s">
        <v>23</v>
      </c>
      <c r="AU9" s="67" t="s">
        <v>63</v>
      </c>
      <c r="AV9" s="68" t="s">
        <v>64</v>
      </c>
      <c r="AW9" s="68" t="s">
        <v>65</v>
      </c>
      <c r="AX9" s="67" t="s">
        <v>66</v>
      </c>
      <c r="AY9" s="67" t="s">
        <v>67</v>
      </c>
      <c r="AZ9" s="67" t="s">
        <v>68</v>
      </c>
      <c r="BA9" s="67" t="s">
        <v>58</v>
      </c>
      <c r="BB9" s="67" t="s">
        <v>69</v>
      </c>
      <c r="BH9" s="185"/>
      <c r="BI9" s="185"/>
      <c r="BJ9" s="227"/>
      <c r="BK9" s="228"/>
      <c r="BL9" s="228"/>
    </row>
    <row r="10" spans="1:65" ht="15" customHeight="1">
      <c r="A10" s="64"/>
      <c r="B10" s="139"/>
      <c r="C10" s="214"/>
      <c r="D10" s="217"/>
      <c r="E10" s="226"/>
      <c r="F10" s="223"/>
      <c r="G10" s="223"/>
      <c r="H10" s="223"/>
      <c r="I10" s="217"/>
      <c r="J10" s="217"/>
      <c r="K10" s="217"/>
      <c r="L10" s="220"/>
      <c r="M10" s="211"/>
      <c r="N10" s="14"/>
      <c r="O10" s="15"/>
      <c r="P10" s="16"/>
      <c r="Q10" s="177"/>
      <c r="R10" s="176"/>
      <c r="S10" s="176"/>
      <c r="T10" s="176"/>
      <c r="U10" s="167"/>
      <c r="V10" s="170"/>
      <c r="W10" s="163"/>
      <c r="X10" s="166"/>
      <c r="Y10" s="206"/>
      <c r="Z10" s="200"/>
      <c r="AA10" s="197"/>
      <c r="AB10" s="194"/>
      <c r="AC10" s="209"/>
      <c r="AD10" s="138"/>
      <c r="AE10" s="138"/>
      <c r="AF10" s="138"/>
      <c r="AG10" s="138"/>
      <c r="AH10" s="138"/>
      <c r="AI10" s="138"/>
      <c r="AJ10" s="138"/>
      <c r="AK10" s="233"/>
      <c r="AL10" s="203"/>
      <c r="AM10" s="17"/>
      <c r="AN10" s="17"/>
      <c r="AO10" s="17"/>
      <c r="AP10" s="17"/>
      <c r="AQ10" s="17"/>
      <c r="AR10" s="18" t="s">
        <v>70</v>
      </c>
      <c r="AS10" s="18" t="s">
        <v>71</v>
      </c>
      <c r="AT10" s="18" t="s">
        <v>72</v>
      </c>
      <c r="AU10" s="18" t="s">
        <v>73</v>
      </c>
      <c r="AV10" s="18" t="s">
        <v>74</v>
      </c>
      <c r="AW10" s="18" t="s">
        <v>75</v>
      </c>
      <c r="AX10" s="18" t="s">
        <v>76</v>
      </c>
      <c r="AY10" s="18" t="s">
        <v>77</v>
      </c>
      <c r="AZ10" s="18" t="s">
        <v>78</v>
      </c>
      <c r="BA10" s="18" t="s">
        <v>79</v>
      </c>
      <c r="BB10" s="18" t="s">
        <v>80</v>
      </c>
      <c r="BC10" s="19" t="s">
        <v>81</v>
      </c>
      <c r="BD10" s="20">
        <v>0</v>
      </c>
      <c r="BE10" s="20">
        <v>0</v>
      </c>
      <c r="BF10" s="19">
        <v>-1</v>
      </c>
      <c r="BG10" s="19" t="s">
        <v>81</v>
      </c>
      <c r="BH10" s="21" t="s">
        <v>82</v>
      </c>
      <c r="BI10" s="22" t="str">
        <f t="shared" ref="BI10:BI16" si="0">$BA$10</f>
        <v>Majors</v>
      </c>
    </row>
    <row r="11" spans="1:65" ht="15">
      <c r="A11" s="4"/>
      <c r="B11" s="121" t="s">
        <v>83</v>
      </c>
      <c r="C11" s="117">
        <v>77</v>
      </c>
      <c r="D11" s="39">
        <v>4</v>
      </c>
      <c r="E11" s="40" t="s">
        <v>71</v>
      </c>
      <c r="F11" s="41" t="s">
        <v>84</v>
      </c>
      <c r="G11" s="42" t="s">
        <v>72</v>
      </c>
      <c r="H11" s="42" t="s">
        <v>85</v>
      </c>
      <c r="I11" s="59" t="s">
        <v>86</v>
      </c>
      <c r="J11" s="43" t="s">
        <v>87</v>
      </c>
      <c r="K11" s="44" t="s">
        <v>88</v>
      </c>
      <c r="L11" s="45" t="s">
        <v>70</v>
      </c>
      <c r="M11" s="74" t="s">
        <v>89</v>
      </c>
      <c r="N11" s="55"/>
      <c r="O11" s="55"/>
      <c r="P11" s="55"/>
      <c r="Q11" s="46">
        <v>10000</v>
      </c>
      <c r="R11" s="47">
        <f t="shared" ref="R11:R74" si="1">IF(Q11="","",S11*Q11/100%)</f>
        <v>100</v>
      </c>
      <c r="S11" s="48">
        <v>0.01</v>
      </c>
      <c r="T11" s="49"/>
      <c r="U11" s="56">
        <v>0.65724000000000005</v>
      </c>
      <c r="V11" s="58">
        <v>0.66005999999999998</v>
      </c>
      <c r="W11" s="50">
        <f t="shared" ref="W11:W74" si="2">IF(V11="","",IF(L11="Long",U11-V11,V11-U11))</f>
        <v>2.8199999999999337E-3</v>
      </c>
      <c r="X11" s="51">
        <f t="shared" ref="X11:X16" si="3">IF(W11="","",R11)</f>
        <v>100</v>
      </c>
      <c r="Y11" s="57">
        <v>0.65124000000000004</v>
      </c>
      <c r="Z11" s="50">
        <f t="shared" ref="Z11:Z74" si="4">IF(Y11="","",IF(L11="Long",Y11-U11,U11-Y11))</f>
        <v>6.0000000000000053E-3</v>
      </c>
      <c r="AA11" s="52">
        <f t="shared" ref="AA11:AA16" si="5">IF(AB11="","",AB11*X11/1)</f>
        <v>212.7659574468137</v>
      </c>
      <c r="AB11" s="53">
        <f>IF(Z11="","",Z11*1/W11)</f>
        <v>2.127659574468137</v>
      </c>
      <c r="AC11" s="41" t="s">
        <v>84</v>
      </c>
      <c r="AD11" s="57">
        <f>V11</f>
        <v>0.66005999999999998</v>
      </c>
      <c r="AE11" s="54">
        <v>-1.54</v>
      </c>
      <c r="AF11" s="54">
        <v>0.24</v>
      </c>
      <c r="AG11" s="124">
        <f>-X11</f>
        <v>-100</v>
      </c>
      <c r="AH11" s="115">
        <f>IF(AG11="","",AG11+AF11+AE11)</f>
        <v>-101.30000000000001</v>
      </c>
      <c r="AI11" s="114">
        <f t="shared" ref="AI11" si="6">IF(AD11="","",IF(L11="Long",AD11-U11,U11-AD11))</f>
        <v>-2.8199999999999337E-3</v>
      </c>
      <c r="AJ11" s="116">
        <f>IF(AI11="","",AG11*S11/X11)</f>
        <v>-0.01</v>
      </c>
      <c r="AK11" s="98">
        <f>IF(AI11="","",(AG11+AF11+AE11)*S11/X11)</f>
        <v>-1.0130000000000002E-2</v>
      </c>
      <c r="AL11" s="123">
        <f>Q11+AH11</f>
        <v>9898.7000000000007</v>
      </c>
      <c r="AM11" s="84"/>
      <c r="AN11" s="17"/>
      <c r="AO11" s="17"/>
      <c r="AP11" s="17"/>
      <c r="AQ11" s="17"/>
      <c r="AR11" s="18" t="s">
        <v>90</v>
      </c>
      <c r="AS11" s="18" t="s">
        <v>91</v>
      </c>
      <c r="AT11" s="18" t="s">
        <v>92</v>
      </c>
      <c r="AU11" s="18" t="s">
        <v>93</v>
      </c>
      <c r="AV11" s="18" t="s">
        <v>94</v>
      </c>
      <c r="AW11" s="18" t="s">
        <v>89</v>
      </c>
      <c r="AX11" s="18" t="s">
        <v>95</v>
      </c>
      <c r="AY11" s="18" t="s">
        <v>96</v>
      </c>
      <c r="AZ11" s="18" t="s">
        <v>97</v>
      </c>
      <c r="BA11" s="18" t="s">
        <v>85</v>
      </c>
      <c r="BB11" s="18" t="s">
        <v>98</v>
      </c>
      <c r="BD11" s="20">
        <v>0.1</v>
      </c>
      <c r="BE11" s="20">
        <v>0.1</v>
      </c>
      <c r="BF11" s="19">
        <v>0</v>
      </c>
      <c r="BH11" s="21" t="s">
        <v>86</v>
      </c>
      <c r="BI11" s="22" t="str">
        <f t="shared" si="0"/>
        <v>Majors</v>
      </c>
      <c r="BL11" s="19" t="s">
        <v>99</v>
      </c>
      <c r="BM11" s="19" t="s">
        <v>100</v>
      </c>
    </row>
    <row r="12" spans="1:65" ht="15">
      <c r="A12" s="4"/>
      <c r="B12" s="121" t="s">
        <v>83</v>
      </c>
      <c r="C12" s="117">
        <v>78</v>
      </c>
      <c r="D12" s="39">
        <v>5</v>
      </c>
      <c r="E12" s="40" t="s">
        <v>101</v>
      </c>
      <c r="F12" s="41" t="s">
        <v>102</v>
      </c>
      <c r="G12" s="42" t="s">
        <v>72</v>
      </c>
      <c r="H12" s="42" t="s">
        <v>79</v>
      </c>
      <c r="I12" s="59" t="s">
        <v>82</v>
      </c>
      <c r="J12" s="43" t="s">
        <v>87</v>
      </c>
      <c r="K12" s="44" t="s">
        <v>103</v>
      </c>
      <c r="L12" s="45" t="s">
        <v>70</v>
      </c>
      <c r="M12" s="74" t="s">
        <v>89</v>
      </c>
      <c r="N12" s="55"/>
      <c r="O12" s="55"/>
      <c r="P12" s="55"/>
      <c r="Q12" s="46">
        <f>AL11</f>
        <v>9898.7000000000007</v>
      </c>
      <c r="R12" s="47">
        <f t="shared" si="1"/>
        <v>98.987000000000009</v>
      </c>
      <c r="S12" s="48">
        <v>0.01</v>
      </c>
      <c r="T12" s="49"/>
      <c r="U12" s="56">
        <v>1.0812900000000001</v>
      </c>
      <c r="V12" s="58">
        <v>1.0815999999999999</v>
      </c>
      <c r="W12" s="50">
        <f t="shared" si="2"/>
        <v>3.0999999999981043E-4</v>
      </c>
      <c r="X12" s="51">
        <f t="shared" si="3"/>
        <v>98.987000000000009</v>
      </c>
      <c r="Y12" s="57">
        <v>1.08033</v>
      </c>
      <c r="Z12" s="50">
        <f t="shared" si="4"/>
        <v>9.6000000000007191E-4</v>
      </c>
      <c r="AA12" s="52">
        <f t="shared" si="5"/>
        <v>306.54038709698466</v>
      </c>
      <c r="AB12" s="53">
        <f t="shared" ref="AB12:AB16" si="7">IF(Z12="","",Z12*1/W12)</f>
        <v>3.0967741935505129</v>
      </c>
      <c r="AC12" s="41" t="s">
        <v>104</v>
      </c>
      <c r="AD12" s="58">
        <f>V12</f>
        <v>1.0815999999999999</v>
      </c>
      <c r="AE12" s="54">
        <v>-13.98</v>
      </c>
      <c r="AF12" s="54">
        <v>0</v>
      </c>
      <c r="AG12" s="124">
        <f>-X12</f>
        <v>-98.987000000000009</v>
      </c>
      <c r="AH12" s="115">
        <f t="shared" ref="AH12:AH75" si="8">IF(AG12="","",AG12+AF12+AE12)</f>
        <v>-112.96700000000001</v>
      </c>
      <c r="AI12" s="114">
        <f t="shared" ref="AI12:AI14" si="9">IF(AD12="","",IF(L12="Long",AD12-U12,U12-AD12))</f>
        <v>-3.0999999999981043E-4</v>
      </c>
      <c r="AJ12" s="116">
        <f t="shared" ref="AJ12:AJ14" si="10">IF(AI12="","",AG12*S12/X12)</f>
        <v>-0.01</v>
      </c>
      <c r="AK12" s="98">
        <f t="shared" ref="AK12:AK14" si="11">IF(AI12="","",(AG12+AF12+AE12)*S12/X12)</f>
        <v>-1.1412306666531969E-2</v>
      </c>
      <c r="AL12" s="123">
        <f>Q12+AH12</f>
        <v>9785.7330000000002</v>
      </c>
      <c r="AM12" s="84"/>
      <c r="AN12" s="17"/>
      <c r="AO12" s="17"/>
      <c r="AP12" s="17"/>
      <c r="AQ12" s="17"/>
      <c r="AR12" s="18"/>
      <c r="AS12" s="18" t="s">
        <v>105</v>
      </c>
      <c r="AT12" s="18" t="s">
        <v>106</v>
      </c>
      <c r="AU12" s="18" t="s">
        <v>107</v>
      </c>
      <c r="AV12" s="18" t="s">
        <v>108</v>
      </c>
      <c r="AW12" s="18" t="s">
        <v>109</v>
      </c>
      <c r="AX12" s="18"/>
      <c r="AY12" s="18" t="s">
        <v>110</v>
      </c>
      <c r="AZ12" s="18" t="s">
        <v>111</v>
      </c>
      <c r="BA12" s="18" t="s">
        <v>112</v>
      </c>
      <c r="BB12" s="18" t="s">
        <v>113</v>
      </c>
      <c r="BD12" s="20">
        <v>0.2</v>
      </c>
      <c r="BE12" s="20">
        <v>0.2</v>
      </c>
      <c r="BF12" s="19">
        <v>1</v>
      </c>
      <c r="BH12" s="21" t="s">
        <v>114</v>
      </c>
      <c r="BI12" s="22" t="str">
        <f t="shared" si="0"/>
        <v>Majors</v>
      </c>
      <c r="BL12" s="19" t="s">
        <v>115</v>
      </c>
      <c r="BM12" s="19" t="s">
        <v>116</v>
      </c>
    </row>
    <row r="13" spans="1:65" ht="15">
      <c r="A13" s="4"/>
      <c r="B13" s="121" t="s">
        <v>83</v>
      </c>
      <c r="C13" s="117">
        <v>79</v>
      </c>
      <c r="D13" s="39">
        <v>5</v>
      </c>
      <c r="E13" s="40" t="s">
        <v>101</v>
      </c>
      <c r="F13" s="41" t="s">
        <v>102</v>
      </c>
      <c r="G13" s="42" t="s">
        <v>72</v>
      </c>
      <c r="H13" s="42" t="s">
        <v>79</v>
      </c>
      <c r="I13" s="59" t="s">
        <v>82</v>
      </c>
      <c r="J13" s="43" t="s">
        <v>87</v>
      </c>
      <c r="K13" s="44" t="s">
        <v>103</v>
      </c>
      <c r="L13" s="45" t="s">
        <v>70</v>
      </c>
      <c r="M13" s="74" t="s">
        <v>89</v>
      </c>
      <c r="N13" s="55"/>
      <c r="O13" s="55"/>
      <c r="P13" s="55"/>
      <c r="Q13" s="46">
        <f>AL12</f>
        <v>9785.7330000000002</v>
      </c>
      <c r="R13" s="47">
        <f t="shared" si="1"/>
        <v>97.857330000000005</v>
      </c>
      <c r="S13" s="48">
        <v>0.01</v>
      </c>
      <c r="T13" s="49"/>
      <c r="U13" s="56">
        <v>1.0815399999999999</v>
      </c>
      <c r="V13" s="58">
        <v>1.08178</v>
      </c>
      <c r="W13" s="50">
        <f t="shared" si="2"/>
        <v>2.4000000000001798E-4</v>
      </c>
      <c r="X13" s="51">
        <f t="shared" si="3"/>
        <v>97.857330000000005</v>
      </c>
      <c r="Y13" s="57">
        <v>1.0803400000000001</v>
      </c>
      <c r="Z13" s="50">
        <f t="shared" si="4"/>
        <v>1.1999999999998678E-3</v>
      </c>
      <c r="AA13" s="52">
        <f t="shared" si="5"/>
        <v>489.28664999990946</v>
      </c>
      <c r="AB13" s="53">
        <f t="shared" si="7"/>
        <v>4.9999999999990745</v>
      </c>
      <c r="AC13" s="41" t="s">
        <v>104</v>
      </c>
      <c r="AD13" s="57">
        <f>V13</f>
        <v>1.08178</v>
      </c>
      <c r="AE13" s="54">
        <v>-18.64</v>
      </c>
      <c r="AF13" s="54">
        <v>0</v>
      </c>
      <c r="AG13" s="124">
        <f>-X13</f>
        <v>-97.857330000000005</v>
      </c>
      <c r="AH13" s="115">
        <f t="shared" si="8"/>
        <v>-116.49733000000001</v>
      </c>
      <c r="AI13" s="114">
        <f t="shared" si="9"/>
        <v>-2.4000000000001798E-4</v>
      </c>
      <c r="AJ13" s="116">
        <f t="shared" si="10"/>
        <v>-0.01</v>
      </c>
      <c r="AK13" s="98">
        <f t="shared" si="11"/>
        <v>-1.1904813875465435E-2</v>
      </c>
      <c r="AL13" s="123">
        <f>Q13+AH13</f>
        <v>9669.23567</v>
      </c>
      <c r="AM13" s="17"/>
      <c r="AN13" s="17"/>
      <c r="AO13" s="17"/>
      <c r="AP13" s="17"/>
      <c r="AQ13" s="17"/>
      <c r="AR13" s="18"/>
      <c r="AS13" s="18" t="s">
        <v>101</v>
      </c>
      <c r="AT13" s="18"/>
      <c r="AU13" s="18" t="s">
        <v>117</v>
      </c>
      <c r="AV13" s="18" t="s">
        <v>118</v>
      </c>
      <c r="AW13" s="18"/>
      <c r="AX13" s="18"/>
      <c r="AY13" s="18"/>
      <c r="AZ13" s="18" t="s">
        <v>110</v>
      </c>
      <c r="BA13" s="18" t="s">
        <v>119</v>
      </c>
      <c r="BB13" s="18" t="s">
        <v>120</v>
      </c>
      <c r="BD13" s="20">
        <v>0.3</v>
      </c>
      <c r="BE13" s="20">
        <v>0.3</v>
      </c>
      <c r="BF13" s="19">
        <v>2</v>
      </c>
      <c r="BH13" s="21" t="s">
        <v>121</v>
      </c>
      <c r="BI13" s="22" t="str">
        <f t="shared" si="0"/>
        <v>Majors</v>
      </c>
      <c r="BL13" s="19" t="s">
        <v>95</v>
      </c>
      <c r="BM13" s="19" t="s">
        <v>122</v>
      </c>
    </row>
    <row r="14" spans="1:65" ht="15">
      <c r="A14" s="4"/>
      <c r="B14" s="121" t="s">
        <v>83</v>
      </c>
      <c r="C14" s="117">
        <v>80</v>
      </c>
      <c r="D14" s="39">
        <v>6</v>
      </c>
      <c r="E14" s="40" t="s">
        <v>105</v>
      </c>
      <c r="F14" s="41" t="s">
        <v>123</v>
      </c>
      <c r="G14" s="42" t="s">
        <v>72</v>
      </c>
      <c r="H14" s="42" t="s">
        <v>79</v>
      </c>
      <c r="I14" s="59" t="s">
        <v>82</v>
      </c>
      <c r="J14" s="43" t="s">
        <v>87</v>
      </c>
      <c r="K14" s="44" t="s">
        <v>103</v>
      </c>
      <c r="L14" s="45" t="s">
        <v>70</v>
      </c>
      <c r="M14" s="74" t="s">
        <v>89</v>
      </c>
      <c r="N14" s="55"/>
      <c r="O14" s="55"/>
      <c r="P14" s="55"/>
      <c r="Q14" s="46">
        <f t="shared" ref="Q14:Q32" si="12">AL13</f>
        <v>9669.23567</v>
      </c>
      <c r="R14" s="47">
        <f t="shared" si="1"/>
        <v>96.692356700000005</v>
      </c>
      <c r="S14" s="48">
        <v>0.01</v>
      </c>
      <c r="T14" s="49"/>
      <c r="U14" s="56">
        <v>1.0769</v>
      </c>
      <c r="V14" s="58">
        <v>1.0770900000000001</v>
      </c>
      <c r="W14" s="50">
        <f t="shared" si="2"/>
        <v>1.9000000000013451E-4</v>
      </c>
      <c r="X14" s="51">
        <f t="shared" si="3"/>
        <v>96.692356700000005</v>
      </c>
      <c r="Y14" s="57">
        <v>1.07633</v>
      </c>
      <c r="Z14" s="50">
        <f t="shared" si="4"/>
        <v>5.6999999999995943E-4</v>
      </c>
      <c r="AA14" s="52">
        <f t="shared" si="5"/>
        <v>290.07707009977401</v>
      </c>
      <c r="AB14" s="53">
        <f t="shared" si="7"/>
        <v>2.9999999999976628</v>
      </c>
      <c r="AC14" s="41" t="s">
        <v>124</v>
      </c>
      <c r="AD14" s="57">
        <f>V14</f>
        <v>1.0770900000000001</v>
      </c>
      <c r="AE14" s="54">
        <v>-22.16</v>
      </c>
      <c r="AF14" s="54">
        <v>0</v>
      </c>
      <c r="AG14" s="124">
        <f>-X14</f>
        <v>-96.692356700000005</v>
      </c>
      <c r="AH14" s="115">
        <f t="shared" si="8"/>
        <v>-118.8523567</v>
      </c>
      <c r="AI14" s="114">
        <f t="shared" si="9"/>
        <v>-1.9000000000013451E-4</v>
      </c>
      <c r="AJ14" s="116">
        <f t="shared" si="10"/>
        <v>-0.01</v>
      </c>
      <c r="AK14" s="98">
        <f t="shared" si="11"/>
        <v>-1.2291804725450444E-2</v>
      </c>
      <c r="AL14" s="123">
        <f t="shared" ref="AL14:AL20" si="13">Q14+AH14</f>
        <v>9550.3833133000007</v>
      </c>
      <c r="AM14" s="17"/>
      <c r="AN14" s="17"/>
      <c r="AO14" s="17"/>
      <c r="AP14" s="17"/>
      <c r="AQ14" s="17"/>
      <c r="AR14" s="18"/>
      <c r="AS14" s="18" t="s">
        <v>125</v>
      </c>
      <c r="AT14" s="18"/>
      <c r="AV14" s="18" t="s">
        <v>126</v>
      </c>
      <c r="AW14" s="18"/>
      <c r="AX14" s="18"/>
      <c r="AY14" s="18"/>
      <c r="AZ14" s="18"/>
      <c r="BA14" s="18" t="s">
        <v>127</v>
      </c>
      <c r="BB14" s="18" t="s">
        <v>128</v>
      </c>
      <c r="BD14" s="20">
        <v>0.4</v>
      </c>
      <c r="BE14" s="20">
        <v>0.4</v>
      </c>
      <c r="BF14" s="19">
        <v>3</v>
      </c>
      <c r="BH14" s="21" t="s">
        <v>129</v>
      </c>
      <c r="BI14" s="22" t="str">
        <f t="shared" si="0"/>
        <v>Majors</v>
      </c>
      <c r="BL14" s="19" t="s">
        <v>130</v>
      </c>
      <c r="BM14" s="19" t="s">
        <v>131</v>
      </c>
    </row>
    <row r="15" spans="1:65" ht="15">
      <c r="A15" s="4"/>
      <c r="B15" s="121" t="s">
        <v>132</v>
      </c>
      <c r="C15" s="117">
        <v>81</v>
      </c>
      <c r="D15" s="39">
        <v>12</v>
      </c>
      <c r="E15" s="40" t="s">
        <v>91</v>
      </c>
      <c r="F15" s="41" t="s">
        <v>133</v>
      </c>
      <c r="G15" s="42" t="s">
        <v>72</v>
      </c>
      <c r="H15" s="42" t="s">
        <v>79</v>
      </c>
      <c r="I15" s="59" t="s">
        <v>86</v>
      </c>
      <c r="J15" s="43" t="s">
        <v>87</v>
      </c>
      <c r="K15" s="44" t="s">
        <v>103</v>
      </c>
      <c r="L15" s="45" t="s">
        <v>90</v>
      </c>
      <c r="M15" s="74" t="s">
        <v>75</v>
      </c>
      <c r="N15" s="55"/>
      <c r="O15" s="55"/>
      <c r="P15" s="55"/>
      <c r="Q15" s="46">
        <f t="shared" si="12"/>
        <v>9550.3833133000007</v>
      </c>
      <c r="R15" s="47">
        <f t="shared" si="1"/>
        <v>95.503833133000015</v>
      </c>
      <c r="S15" s="48">
        <v>0.01</v>
      </c>
      <c r="T15" s="49"/>
      <c r="U15" s="56">
        <v>0.65107000000000004</v>
      </c>
      <c r="V15" s="58">
        <v>0.65085999999999999</v>
      </c>
      <c r="W15" s="50">
        <f t="shared" si="2"/>
        <v>2.1000000000004349E-4</v>
      </c>
      <c r="X15" s="51">
        <f t="shared" si="3"/>
        <v>95.503833133000015</v>
      </c>
      <c r="Y15" s="57">
        <v>0.65158000000000005</v>
      </c>
      <c r="Z15" s="50">
        <f t="shared" si="4"/>
        <v>5.1000000000001044E-4</v>
      </c>
      <c r="AA15" s="52">
        <f t="shared" si="5"/>
        <v>231.93788046581389</v>
      </c>
      <c r="AB15" s="53">
        <f t="shared" si="7"/>
        <v>2.4285714285709754</v>
      </c>
      <c r="AC15" s="41" t="s">
        <v>133</v>
      </c>
      <c r="AD15" s="58">
        <f>Y15</f>
        <v>0.65158000000000005</v>
      </c>
      <c r="AE15" s="54">
        <v>-13.61</v>
      </c>
      <c r="AF15" s="54">
        <v>0</v>
      </c>
      <c r="AG15" s="125">
        <f>AA15</f>
        <v>231.93788046581389</v>
      </c>
      <c r="AH15" s="115">
        <f t="shared" si="8"/>
        <v>218.32788046581391</v>
      </c>
      <c r="AI15" s="114">
        <f t="shared" ref="AI15:AI78" si="14">IF(AD15="","",IF(L15="Long",AD15-U15,U15-AD15))</f>
        <v>5.1000000000001044E-4</v>
      </c>
      <c r="AJ15" s="116">
        <f t="shared" ref="AJ15:AJ78" si="15">IF(AI15="","",AG15*S15/X15)</f>
        <v>2.4285714285709754E-2</v>
      </c>
      <c r="AK15" s="98">
        <f t="shared" ref="AK15:AK78" si="16">IF(AI15="","",(AG15+AF15+AE15)*S15/X15)</f>
        <v>2.2860640594578794E-2</v>
      </c>
      <c r="AL15" s="123">
        <f t="shared" si="13"/>
        <v>9768.7111937658156</v>
      </c>
      <c r="AM15" s="17"/>
      <c r="AN15" s="17"/>
      <c r="AO15" s="17"/>
      <c r="AP15" s="17"/>
      <c r="AQ15" s="17"/>
      <c r="AR15" s="18"/>
      <c r="AS15" s="18"/>
      <c r="AT15" s="18"/>
      <c r="AU15" s="18"/>
      <c r="AV15" s="18" t="s">
        <v>134</v>
      </c>
      <c r="AW15" s="18"/>
      <c r="AX15" s="18"/>
      <c r="AY15" s="18"/>
      <c r="AZ15" s="18"/>
      <c r="BA15" s="18"/>
      <c r="BB15" s="18" t="s">
        <v>135</v>
      </c>
      <c r="BD15" s="20">
        <v>0.5</v>
      </c>
      <c r="BE15" s="20">
        <v>0.5</v>
      </c>
      <c r="BF15" s="19">
        <v>4</v>
      </c>
      <c r="BH15" s="21" t="s">
        <v>136</v>
      </c>
      <c r="BI15" s="22" t="str">
        <f t="shared" si="0"/>
        <v>Majors</v>
      </c>
    </row>
    <row r="16" spans="1:65" ht="15">
      <c r="A16" s="4"/>
      <c r="B16" s="121" t="s">
        <v>132</v>
      </c>
      <c r="C16" s="117">
        <v>82</v>
      </c>
      <c r="D16" s="39">
        <v>12</v>
      </c>
      <c r="E16" s="40" t="s">
        <v>101</v>
      </c>
      <c r="F16" s="41" t="s">
        <v>137</v>
      </c>
      <c r="G16" s="42" t="s">
        <v>72</v>
      </c>
      <c r="H16" s="42" t="s">
        <v>79</v>
      </c>
      <c r="I16" s="59" t="s">
        <v>82</v>
      </c>
      <c r="J16" s="43" t="s">
        <v>87</v>
      </c>
      <c r="K16" s="44" t="s">
        <v>103</v>
      </c>
      <c r="L16" s="45" t="s">
        <v>70</v>
      </c>
      <c r="M16" s="74" t="s">
        <v>75</v>
      </c>
      <c r="N16" s="55"/>
      <c r="O16" s="55"/>
      <c r="P16" s="55"/>
      <c r="Q16" s="46">
        <f t="shared" si="12"/>
        <v>9768.7111937658156</v>
      </c>
      <c r="R16" s="47">
        <f t="shared" si="1"/>
        <v>97.687111937658159</v>
      </c>
      <c r="S16" s="48">
        <v>0.01</v>
      </c>
      <c r="T16" s="49"/>
      <c r="U16" s="56">
        <v>1.0934900000000001</v>
      </c>
      <c r="V16" s="58">
        <v>1.09389</v>
      </c>
      <c r="W16" s="50">
        <f t="shared" si="2"/>
        <v>3.9999999999995595E-4</v>
      </c>
      <c r="X16" s="51">
        <f t="shared" si="3"/>
        <v>97.687111937658159</v>
      </c>
      <c r="Y16" s="57">
        <v>1.09233</v>
      </c>
      <c r="Z16" s="50">
        <f t="shared" si="4"/>
        <v>1.1600000000000499E-3</v>
      </c>
      <c r="AA16" s="52">
        <f t="shared" si="5"/>
        <v>283.29262461925202</v>
      </c>
      <c r="AB16" s="53">
        <f t="shared" si="7"/>
        <v>2.900000000000444</v>
      </c>
      <c r="AC16" s="41" t="s">
        <v>137</v>
      </c>
      <c r="AD16" s="57">
        <f>Y16</f>
        <v>1.09233</v>
      </c>
      <c r="AE16" s="54">
        <v>-7.66</v>
      </c>
      <c r="AF16" s="54">
        <v>0</v>
      </c>
      <c r="AG16" s="119">
        <f>AA16</f>
        <v>283.29262461925202</v>
      </c>
      <c r="AH16" s="115">
        <f t="shared" si="8"/>
        <v>275.632624619252</v>
      </c>
      <c r="AI16" s="114">
        <f t="shared" si="14"/>
        <v>1.1600000000000499E-3</v>
      </c>
      <c r="AJ16" s="116">
        <f t="shared" si="15"/>
        <v>2.9000000000004439E-2</v>
      </c>
      <c r="AK16" s="98">
        <f t="shared" si="16"/>
        <v>2.8215863807618237E-2</v>
      </c>
      <c r="AL16" s="123">
        <f t="shared" si="13"/>
        <v>10044.343818385067</v>
      </c>
      <c r="AM16" s="17"/>
      <c r="AN16" s="17"/>
      <c r="AO16" s="17"/>
      <c r="AP16" s="17"/>
      <c r="AQ16" s="17"/>
      <c r="AR16" s="18"/>
      <c r="AS16" s="18"/>
      <c r="AT16" s="18"/>
      <c r="AU16" s="18"/>
      <c r="AV16" s="18" t="s">
        <v>88</v>
      </c>
      <c r="AW16" s="18"/>
      <c r="AX16" s="18"/>
      <c r="AY16" s="18"/>
      <c r="AZ16" s="18"/>
      <c r="BA16" s="18"/>
      <c r="BB16" s="18" t="s">
        <v>138</v>
      </c>
      <c r="BD16" s="20">
        <v>0.6</v>
      </c>
      <c r="BE16" s="20">
        <v>0.6</v>
      </c>
      <c r="BF16" s="19">
        <v>5</v>
      </c>
      <c r="BH16" s="21" t="s">
        <v>139</v>
      </c>
      <c r="BI16" s="22" t="str">
        <f t="shared" si="0"/>
        <v>Majors</v>
      </c>
      <c r="BJ16" s="227" t="s">
        <v>140</v>
      </c>
      <c r="BK16" s="228"/>
      <c r="BL16" s="228"/>
    </row>
    <row r="17" spans="1:65" ht="15">
      <c r="A17" s="4"/>
      <c r="B17" s="121" t="s">
        <v>132</v>
      </c>
      <c r="C17" s="117">
        <v>83</v>
      </c>
      <c r="D17" s="39">
        <v>13</v>
      </c>
      <c r="E17" s="40" t="s">
        <v>91</v>
      </c>
      <c r="F17" s="41" t="s">
        <v>141</v>
      </c>
      <c r="G17" s="42" t="s">
        <v>72</v>
      </c>
      <c r="H17" s="42" t="s">
        <v>79</v>
      </c>
      <c r="I17" s="59" t="s">
        <v>82</v>
      </c>
      <c r="J17" s="43" t="s">
        <v>87</v>
      </c>
      <c r="K17" s="44" t="s">
        <v>142</v>
      </c>
      <c r="L17" s="45" t="s">
        <v>70</v>
      </c>
      <c r="M17" s="74" t="s">
        <v>75</v>
      </c>
      <c r="N17" s="55"/>
      <c r="O17" s="55"/>
      <c r="P17" s="55"/>
      <c r="Q17" s="46">
        <f t="shared" si="12"/>
        <v>10044.343818385067</v>
      </c>
      <c r="R17" s="47">
        <f t="shared" si="1"/>
        <v>100.44343818385067</v>
      </c>
      <c r="S17" s="48">
        <v>0.01</v>
      </c>
      <c r="T17" s="49"/>
      <c r="U17" s="56">
        <v>1.08491</v>
      </c>
      <c r="V17" s="58">
        <v>1.0853299999999999</v>
      </c>
      <c r="W17" s="50">
        <f t="shared" si="2"/>
        <v>4.1999999999986493E-4</v>
      </c>
      <c r="X17" s="51">
        <f t="shared" ref="X17" si="17">IF(W17="","",R17)</f>
        <v>100.44343818385067</v>
      </c>
      <c r="Y17" s="57">
        <v>1.08368</v>
      </c>
      <c r="Z17" s="50">
        <f t="shared" si="4"/>
        <v>1.2300000000000644E-3</v>
      </c>
      <c r="AA17" s="52">
        <f t="shared" ref="AA17" si="18">IF(AB17="","",AB17*X17/1)</f>
        <v>294.15578325281552</v>
      </c>
      <c r="AB17" s="53">
        <f t="shared" ref="AB17" si="19">IF(Z17="","",Z17*1/W17)</f>
        <v>2.9285714285725235</v>
      </c>
      <c r="AC17" s="41" t="s">
        <v>141</v>
      </c>
      <c r="AD17" s="58">
        <v>1.0842400000000001</v>
      </c>
      <c r="AE17" s="54">
        <v>-7.33</v>
      </c>
      <c r="AF17" s="54">
        <v>0</v>
      </c>
      <c r="AG17" s="125">
        <v>163</v>
      </c>
      <c r="AH17" s="115">
        <f t="shared" si="8"/>
        <v>155.66999999999999</v>
      </c>
      <c r="AI17" s="114">
        <f t="shared" si="14"/>
        <v>6.6999999999994841E-4</v>
      </c>
      <c r="AJ17" s="116">
        <f t="shared" si="15"/>
        <v>1.6228038680002811E-2</v>
      </c>
      <c r="AK17" s="98">
        <f t="shared" si="16"/>
        <v>1.5498274732000231E-2</v>
      </c>
      <c r="AL17" s="123">
        <f t="shared" si="13"/>
        <v>10200.013818385067</v>
      </c>
      <c r="AM17" s="17"/>
      <c r="AN17" s="17"/>
      <c r="AO17" s="17"/>
      <c r="AP17" s="17"/>
      <c r="AQ17" s="17"/>
      <c r="AR17" s="18"/>
      <c r="AS17" s="18"/>
      <c r="AT17" s="18"/>
      <c r="AU17" s="18"/>
      <c r="AV17" s="18" t="s">
        <v>143</v>
      </c>
      <c r="AW17" s="18"/>
      <c r="AX17" s="18"/>
      <c r="AY17" s="18"/>
      <c r="AZ17" s="18"/>
      <c r="BA17" s="18"/>
      <c r="BB17" s="18"/>
      <c r="BD17" s="20">
        <v>0.7</v>
      </c>
      <c r="BE17" s="20">
        <v>0.7</v>
      </c>
      <c r="BF17" s="19">
        <v>6</v>
      </c>
      <c r="BH17" s="21" t="s">
        <v>144</v>
      </c>
      <c r="BI17" s="22" t="str">
        <f t="shared" ref="BI17:BI39" si="20">$BA$11</f>
        <v>Minors</v>
      </c>
      <c r="BL17" s="19" t="s">
        <v>99</v>
      </c>
      <c r="BM17" s="19" t="s">
        <v>145</v>
      </c>
    </row>
    <row r="18" spans="1:65" ht="15">
      <c r="A18" s="4"/>
      <c r="B18" s="121" t="s">
        <v>132</v>
      </c>
      <c r="C18" s="126">
        <v>84</v>
      </c>
      <c r="D18" s="39">
        <v>13</v>
      </c>
      <c r="E18" s="40" t="s">
        <v>101</v>
      </c>
      <c r="F18" s="41" t="s">
        <v>146</v>
      </c>
      <c r="G18" s="42" t="s">
        <v>72</v>
      </c>
      <c r="H18" s="42" t="s">
        <v>79</v>
      </c>
      <c r="I18" s="59" t="s">
        <v>82</v>
      </c>
      <c r="J18" s="43" t="s">
        <v>87</v>
      </c>
      <c r="K18" s="44" t="s">
        <v>103</v>
      </c>
      <c r="L18" s="45" t="s">
        <v>90</v>
      </c>
      <c r="M18" s="74" t="s">
        <v>89</v>
      </c>
      <c r="N18" s="55"/>
      <c r="O18" s="55"/>
      <c r="P18" s="55"/>
      <c r="Q18" s="46">
        <f t="shared" si="12"/>
        <v>10200.013818385067</v>
      </c>
      <c r="R18" s="47">
        <f t="shared" si="1"/>
        <v>102.00013818385067</v>
      </c>
      <c r="S18" s="48">
        <v>0.01</v>
      </c>
      <c r="T18" s="49"/>
      <c r="U18" s="56">
        <v>1.07935</v>
      </c>
      <c r="V18" s="58">
        <v>1.07894</v>
      </c>
      <c r="W18" s="50">
        <f t="shared" si="2"/>
        <v>4.1000000000002146E-4</v>
      </c>
      <c r="X18" s="51">
        <f>IF(W18="","",R18)</f>
        <v>102.00013818385067</v>
      </c>
      <c r="Y18" s="57">
        <v>1.08002</v>
      </c>
      <c r="Z18" s="50">
        <f t="shared" si="4"/>
        <v>6.6999999999994841E-4</v>
      </c>
      <c r="AA18" s="52">
        <f t="shared" ref="AA18:AA81" si="21">IF(AB18="","",AB18*X18/1)</f>
        <v>166.68315264188075</v>
      </c>
      <c r="AB18" s="53">
        <f t="shared" ref="AB18:AB81" si="22">IF(Z18="","",Z18*1/W18)</f>
        <v>1.6341463414632034</v>
      </c>
      <c r="AC18" s="41" t="s">
        <v>146</v>
      </c>
      <c r="AD18" s="58">
        <f>V18</f>
        <v>1.07894</v>
      </c>
      <c r="AE18" s="54">
        <v>-7.98</v>
      </c>
      <c r="AF18" s="54">
        <v>0</v>
      </c>
      <c r="AG18" s="120">
        <f>-X18</f>
        <v>-102.00013818385067</v>
      </c>
      <c r="AH18" s="115">
        <f t="shared" si="8"/>
        <v>-109.98013818385067</v>
      </c>
      <c r="AI18" s="114">
        <f t="shared" si="14"/>
        <v>-4.1000000000002146E-4</v>
      </c>
      <c r="AJ18" s="116">
        <f t="shared" si="15"/>
        <v>-0.01</v>
      </c>
      <c r="AK18" s="98">
        <f t="shared" si="16"/>
        <v>-1.0782351881290239E-2</v>
      </c>
      <c r="AL18" s="123">
        <f t="shared" si="13"/>
        <v>10090.033680201215</v>
      </c>
      <c r="AM18" s="17"/>
      <c r="AN18" s="17"/>
      <c r="AO18" s="17"/>
      <c r="AP18" s="17"/>
      <c r="AQ18" s="17"/>
      <c r="AR18" s="18"/>
      <c r="AS18" s="18"/>
      <c r="AT18" s="18"/>
      <c r="AU18" s="18"/>
      <c r="AV18" s="18" t="s">
        <v>142</v>
      </c>
      <c r="AW18" s="18"/>
      <c r="AX18" s="18"/>
      <c r="AY18" s="18"/>
      <c r="AZ18" s="18"/>
      <c r="BA18" s="18"/>
      <c r="BB18" s="18"/>
      <c r="BD18" s="20">
        <v>0.8</v>
      </c>
      <c r="BE18" s="20">
        <v>0.8</v>
      </c>
      <c r="BF18" s="19">
        <v>7</v>
      </c>
      <c r="BH18" s="21" t="s">
        <v>147</v>
      </c>
      <c r="BI18" s="22" t="str">
        <f t="shared" si="20"/>
        <v>Minors</v>
      </c>
      <c r="BL18" s="19" t="s">
        <v>115</v>
      </c>
      <c r="BM18" s="19" t="s">
        <v>148</v>
      </c>
    </row>
    <row r="19" spans="1:65" ht="15">
      <c r="A19" s="4"/>
      <c r="B19" s="121" t="s">
        <v>132</v>
      </c>
      <c r="C19" s="117">
        <v>85</v>
      </c>
      <c r="D19" s="39">
        <v>14</v>
      </c>
      <c r="E19" s="40" t="s">
        <v>91</v>
      </c>
      <c r="F19" s="41" t="s">
        <v>149</v>
      </c>
      <c r="G19" s="42" t="s">
        <v>92</v>
      </c>
      <c r="H19" s="42" t="s">
        <v>79</v>
      </c>
      <c r="I19" s="59" t="s">
        <v>86</v>
      </c>
      <c r="J19" s="43" t="s">
        <v>87</v>
      </c>
      <c r="K19" s="44" t="s">
        <v>103</v>
      </c>
      <c r="L19" s="45" t="s">
        <v>70</v>
      </c>
      <c r="M19" s="74" t="s">
        <v>75</v>
      </c>
      <c r="N19" s="55"/>
      <c r="O19" s="55"/>
      <c r="P19" s="55"/>
      <c r="Q19" s="46">
        <f t="shared" si="12"/>
        <v>10090.033680201215</v>
      </c>
      <c r="R19" s="47">
        <f t="shared" si="1"/>
        <v>100.90033680201215</v>
      </c>
      <c r="S19" s="48">
        <v>0.01</v>
      </c>
      <c r="T19" s="49"/>
      <c r="U19" s="56">
        <v>0.65041000000000004</v>
      </c>
      <c r="V19" s="58">
        <v>0.65071999999999997</v>
      </c>
      <c r="W19" s="50">
        <f t="shared" si="2"/>
        <v>3.0999999999992145E-4</v>
      </c>
      <c r="X19" s="51">
        <f t="shared" ref="X19:X82" si="23">IF(W19="","",R19)</f>
        <v>100.90033680201215</v>
      </c>
      <c r="Y19" s="57">
        <v>0.64885999999999999</v>
      </c>
      <c r="Z19" s="50">
        <f t="shared" si="4"/>
        <v>1.5500000000000513E-3</v>
      </c>
      <c r="AA19" s="52">
        <f t="shared" si="21"/>
        <v>504.50168401020528</v>
      </c>
      <c r="AB19" s="53">
        <f t="shared" si="22"/>
        <v>5.0000000000014326</v>
      </c>
      <c r="AC19" s="41" t="s">
        <v>150</v>
      </c>
      <c r="AD19" s="57">
        <v>0.65020999999999995</v>
      </c>
      <c r="AE19" s="54">
        <v>-10.52</v>
      </c>
      <c r="AF19" s="54">
        <v>0</v>
      </c>
      <c r="AG19" s="119">
        <v>70.16</v>
      </c>
      <c r="AH19" s="115">
        <f t="shared" si="8"/>
        <v>59.64</v>
      </c>
      <c r="AI19" s="114">
        <f t="shared" si="14"/>
        <v>2.00000000000089E-4</v>
      </c>
      <c r="AJ19" s="116">
        <f t="shared" si="15"/>
        <v>6.9533960166722527E-3</v>
      </c>
      <c r="AK19" s="98">
        <f t="shared" si="16"/>
        <v>5.910783044959139E-3</v>
      </c>
      <c r="AL19" s="123">
        <f t="shared" si="13"/>
        <v>10149.673680201215</v>
      </c>
      <c r="AM19" s="17"/>
      <c r="AN19" s="17"/>
      <c r="AO19" s="17"/>
      <c r="AP19" s="17"/>
      <c r="AQ19" s="17"/>
      <c r="AR19" s="18"/>
      <c r="AS19" s="18"/>
      <c r="AT19" s="18"/>
      <c r="AU19" s="18"/>
      <c r="AV19" s="18" t="s">
        <v>151</v>
      </c>
      <c r="AW19" s="18"/>
      <c r="AX19" s="18"/>
      <c r="AY19" s="18"/>
      <c r="AZ19" s="18"/>
      <c r="BA19" s="18"/>
      <c r="BB19" s="18"/>
      <c r="BD19" s="20">
        <v>0.9</v>
      </c>
      <c r="BE19" s="20">
        <v>0.9</v>
      </c>
      <c r="BF19" s="19">
        <v>8</v>
      </c>
      <c r="BH19" s="21" t="s">
        <v>152</v>
      </c>
      <c r="BI19" s="22" t="str">
        <f t="shared" si="20"/>
        <v>Minors</v>
      </c>
      <c r="BL19" s="19" t="s">
        <v>95</v>
      </c>
      <c r="BM19" s="19" t="s">
        <v>153</v>
      </c>
    </row>
    <row r="20" spans="1:65" ht="15">
      <c r="A20" s="4"/>
      <c r="B20" s="121" t="s">
        <v>132</v>
      </c>
      <c r="C20" s="117">
        <v>86</v>
      </c>
      <c r="D20" s="39">
        <v>14</v>
      </c>
      <c r="E20" s="40" t="s">
        <v>105</v>
      </c>
      <c r="F20" s="41" t="s">
        <v>154</v>
      </c>
      <c r="G20" s="42" t="s">
        <v>92</v>
      </c>
      <c r="H20" s="42" t="s">
        <v>79</v>
      </c>
      <c r="I20" s="59" t="s">
        <v>82</v>
      </c>
      <c r="J20" s="43" t="s">
        <v>87</v>
      </c>
      <c r="K20" s="44" t="s">
        <v>103</v>
      </c>
      <c r="L20" s="45" t="s">
        <v>70</v>
      </c>
      <c r="M20" s="128"/>
      <c r="N20" s="55"/>
      <c r="O20" s="55"/>
      <c r="P20" s="55"/>
      <c r="Q20" s="46">
        <f t="shared" si="12"/>
        <v>10149.673680201215</v>
      </c>
      <c r="R20" s="47">
        <f t="shared" si="1"/>
        <v>101.49673680201215</v>
      </c>
      <c r="S20" s="48">
        <v>0.01</v>
      </c>
      <c r="T20" s="49"/>
      <c r="U20" s="56">
        <v>1.07809</v>
      </c>
      <c r="V20" s="58">
        <v>1.0785100000000001</v>
      </c>
      <c r="W20" s="50">
        <f t="shared" si="2"/>
        <v>4.2000000000008697E-4</v>
      </c>
      <c r="X20" s="51">
        <f t="shared" si="23"/>
        <v>101.49673680201215</v>
      </c>
      <c r="Y20" s="57">
        <v>1.0770599999999999</v>
      </c>
      <c r="Z20" s="50">
        <f t="shared" si="4"/>
        <v>1.0300000000000864E-3</v>
      </c>
      <c r="AA20" s="52">
        <f t="shared" si="21"/>
        <v>248.90866406204674</v>
      </c>
      <c r="AB20" s="53">
        <f t="shared" si="22"/>
        <v>2.4523809523806501</v>
      </c>
      <c r="AC20" s="41" t="s">
        <v>154</v>
      </c>
      <c r="AD20" s="57">
        <v>1.97817</v>
      </c>
      <c r="AE20" s="54">
        <v>-7.56</v>
      </c>
      <c r="AF20" s="54">
        <v>0</v>
      </c>
      <c r="AG20" s="54">
        <v>-20.18</v>
      </c>
      <c r="AH20" s="115">
        <f t="shared" si="8"/>
        <v>-27.74</v>
      </c>
      <c r="AI20" s="114">
        <f t="shared" si="14"/>
        <v>-0.90007999999999999</v>
      </c>
      <c r="AJ20" s="116">
        <f t="shared" si="15"/>
        <v>-1.9882412613288999E-3</v>
      </c>
      <c r="AK20" s="98">
        <f t="shared" si="16"/>
        <v>-2.7330927943143546E-3</v>
      </c>
      <c r="AL20" s="123">
        <f t="shared" si="13"/>
        <v>10121.933680201215</v>
      </c>
      <c r="AM20" s="17"/>
      <c r="AN20" s="17"/>
      <c r="AO20" s="17"/>
      <c r="AP20" s="17"/>
      <c r="AQ20" s="17"/>
      <c r="AV20" s="19" t="s">
        <v>155</v>
      </c>
      <c r="BD20" s="20">
        <v>1</v>
      </c>
      <c r="BE20" s="20">
        <v>1</v>
      </c>
      <c r="BH20" s="21" t="s">
        <v>156</v>
      </c>
      <c r="BI20" s="22" t="str">
        <f t="shared" si="20"/>
        <v>Minors</v>
      </c>
      <c r="BL20" s="19" t="s">
        <v>130</v>
      </c>
      <c r="BM20" s="19" t="s">
        <v>157</v>
      </c>
    </row>
    <row r="21" spans="1:65" ht="15">
      <c r="A21" s="4"/>
      <c r="B21" s="121" t="s">
        <v>132</v>
      </c>
      <c r="C21" s="117">
        <v>87</v>
      </c>
      <c r="D21" s="39">
        <v>14</v>
      </c>
      <c r="E21" s="40" t="s">
        <v>101</v>
      </c>
      <c r="F21" s="41" t="s">
        <v>158</v>
      </c>
      <c r="G21" s="42" t="s">
        <v>92</v>
      </c>
      <c r="H21" s="42" t="s">
        <v>79</v>
      </c>
      <c r="I21" s="59" t="s">
        <v>82</v>
      </c>
      <c r="J21" s="43" t="s">
        <v>87</v>
      </c>
      <c r="K21" s="44" t="s">
        <v>103</v>
      </c>
      <c r="L21" s="45" t="s">
        <v>90</v>
      </c>
      <c r="M21" s="128"/>
      <c r="N21" s="55"/>
      <c r="O21" s="55"/>
      <c r="P21" s="55"/>
      <c r="Q21" s="46">
        <f t="shared" si="12"/>
        <v>10121.933680201215</v>
      </c>
      <c r="R21" s="47">
        <f t="shared" si="1"/>
        <v>101.21933680201215</v>
      </c>
      <c r="S21" s="48">
        <v>0.01</v>
      </c>
      <c r="T21" s="49"/>
      <c r="U21" s="56">
        <v>1.086689</v>
      </c>
      <c r="V21" s="58">
        <v>1.0863700000000001</v>
      </c>
      <c r="W21" s="50">
        <f t="shared" si="2"/>
        <v>3.1899999999995821E-4</v>
      </c>
      <c r="X21" s="51">
        <f t="shared" si="23"/>
        <v>101.21933680201215</v>
      </c>
      <c r="Y21" s="57">
        <v>1.0878699999999999</v>
      </c>
      <c r="Z21" s="50">
        <f t="shared" si="4"/>
        <v>1.1809999999998766E-3</v>
      </c>
      <c r="AA21" s="52">
        <f t="shared" si="21"/>
        <v>374.7336575648261</v>
      </c>
      <c r="AB21" s="53">
        <f t="shared" si="22"/>
        <v>3.7021943573668694</v>
      </c>
      <c r="AC21" s="41" t="s">
        <v>158</v>
      </c>
      <c r="AD21" s="58">
        <f>U21</f>
        <v>1.086689</v>
      </c>
      <c r="AE21" s="54">
        <v>-6.1</v>
      </c>
      <c r="AF21" s="54">
        <v>0</v>
      </c>
      <c r="AG21" s="54">
        <v>0</v>
      </c>
      <c r="AH21" s="115">
        <f t="shared" si="8"/>
        <v>-6.1</v>
      </c>
      <c r="AI21" s="114">
        <f t="shared" si="14"/>
        <v>0</v>
      </c>
      <c r="AJ21" s="116">
        <f t="shared" si="15"/>
        <v>0</v>
      </c>
      <c r="AK21" s="98">
        <f t="shared" si="16"/>
        <v>-6.0265164668404914E-4</v>
      </c>
      <c r="AL21" s="123">
        <f>Q21+AH21</f>
        <v>10115.833680201215</v>
      </c>
      <c r="AM21" s="17"/>
      <c r="AN21" s="17"/>
      <c r="AO21" s="17"/>
      <c r="AP21" s="17"/>
      <c r="AQ21" s="17"/>
      <c r="AV21" s="19" t="s">
        <v>159</v>
      </c>
      <c r="BH21" s="21" t="s">
        <v>160</v>
      </c>
      <c r="BI21" s="22" t="str">
        <f t="shared" si="20"/>
        <v>Minors</v>
      </c>
    </row>
    <row r="22" spans="1:65" ht="15">
      <c r="A22" s="4"/>
      <c r="B22" s="121" t="s">
        <v>132</v>
      </c>
      <c r="C22" s="117">
        <v>88</v>
      </c>
      <c r="D22" s="39">
        <v>14</v>
      </c>
      <c r="E22" s="40" t="s">
        <v>125</v>
      </c>
      <c r="F22" s="41" t="s">
        <v>161</v>
      </c>
      <c r="G22" s="42" t="s">
        <v>92</v>
      </c>
      <c r="H22" s="42" t="s">
        <v>79</v>
      </c>
      <c r="I22" s="59" t="s">
        <v>86</v>
      </c>
      <c r="J22" s="43" t="s">
        <v>87</v>
      </c>
      <c r="K22" s="44" t="s">
        <v>103</v>
      </c>
      <c r="L22" s="45" t="s">
        <v>90</v>
      </c>
      <c r="M22" s="74" t="s">
        <v>89</v>
      </c>
      <c r="N22" s="55"/>
      <c r="O22" s="55"/>
      <c r="P22" s="55"/>
      <c r="Q22" s="46">
        <f t="shared" si="12"/>
        <v>10115.833680201215</v>
      </c>
      <c r="R22" s="47">
        <f t="shared" si="1"/>
        <v>101.15833680201214</v>
      </c>
      <c r="S22" s="48">
        <v>0.01</v>
      </c>
      <c r="T22" s="49"/>
      <c r="U22" s="56">
        <v>0.65854999999999997</v>
      </c>
      <c r="V22" s="56">
        <v>0.65829000000000004</v>
      </c>
      <c r="W22" s="50">
        <f t="shared" si="2"/>
        <v>2.5999999999992696E-4</v>
      </c>
      <c r="X22" s="51">
        <f t="shared" si="23"/>
        <v>101.15833680201214</v>
      </c>
      <c r="Y22" s="57">
        <v>0.65876999999999997</v>
      </c>
      <c r="Z22" s="50">
        <f t="shared" si="4"/>
        <v>2.1999999999999797E-4</v>
      </c>
      <c r="AA22" s="52">
        <f t="shared" si="21"/>
        <v>85.595515755571995</v>
      </c>
      <c r="AB22" s="53">
        <f t="shared" si="22"/>
        <v>0.84615384615407607</v>
      </c>
      <c r="AC22" s="41" t="s">
        <v>161</v>
      </c>
      <c r="AD22" s="58">
        <v>0.65829000000000004</v>
      </c>
      <c r="AE22" s="54">
        <v>-12.18</v>
      </c>
      <c r="AF22" s="54">
        <v>0</v>
      </c>
      <c r="AG22" s="54">
        <v>-52.79</v>
      </c>
      <c r="AH22" s="115">
        <f t="shared" si="8"/>
        <v>-64.97</v>
      </c>
      <c r="AI22" s="114">
        <f t="shared" si="14"/>
        <v>-2.5999999999992696E-4</v>
      </c>
      <c r="AJ22" s="116">
        <f t="shared" si="15"/>
        <v>-5.2185515963277442E-3</v>
      </c>
      <c r="AK22" s="98">
        <f t="shared" si="16"/>
        <v>-6.4226046071872234E-3</v>
      </c>
      <c r="AL22" s="123">
        <f>Q22+AH22</f>
        <v>10050.863680201215</v>
      </c>
      <c r="AM22" s="17"/>
      <c r="AN22" s="17"/>
      <c r="AO22" s="17"/>
      <c r="AP22" s="17"/>
      <c r="AQ22" s="17"/>
      <c r="AV22" s="19" t="s">
        <v>162</v>
      </c>
      <c r="BH22" s="21" t="s">
        <v>163</v>
      </c>
      <c r="BI22" s="22" t="str">
        <f t="shared" si="20"/>
        <v>Minors</v>
      </c>
      <c r="BJ22" s="227" t="s">
        <v>164</v>
      </c>
      <c r="BK22" s="228"/>
      <c r="BL22" s="228"/>
    </row>
    <row r="23" spans="1:65" ht="15">
      <c r="A23" s="4"/>
      <c r="B23" s="121" t="s">
        <v>132</v>
      </c>
      <c r="C23" s="126">
        <v>89</v>
      </c>
      <c r="D23" s="39">
        <v>14</v>
      </c>
      <c r="E23" s="40" t="s">
        <v>125</v>
      </c>
      <c r="F23" s="41" t="s">
        <v>161</v>
      </c>
      <c r="G23" s="42" t="s">
        <v>92</v>
      </c>
      <c r="H23" s="42" t="s">
        <v>79</v>
      </c>
      <c r="I23" s="59" t="s">
        <v>82</v>
      </c>
      <c r="J23" s="43" t="s">
        <v>87</v>
      </c>
      <c r="K23" s="44" t="s">
        <v>103</v>
      </c>
      <c r="L23" s="45" t="s">
        <v>90</v>
      </c>
      <c r="M23" s="74" t="s">
        <v>89</v>
      </c>
      <c r="N23" s="55"/>
      <c r="O23" s="55"/>
      <c r="P23" s="55"/>
      <c r="Q23" s="46">
        <f t="shared" si="12"/>
        <v>10050.863680201215</v>
      </c>
      <c r="R23" s="47">
        <f t="shared" si="1"/>
        <v>100.50863680201215</v>
      </c>
      <c r="S23" s="48">
        <v>0.01</v>
      </c>
      <c r="T23" s="49"/>
      <c r="U23" s="56">
        <v>1.08</v>
      </c>
      <c r="V23" s="58">
        <v>1.0790999999999999</v>
      </c>
      <c r="W23" s="50">
        <f t="shared" si="2"/>
        <v>9.0000000000012292E-4</v>
      </c>
      <c r="X23" s="51">
        <f t="shared" si="23"/>
        <v>100.50863680201215</v>
      </c>
      <c r="Y23" s="57">
        <v>1.0841400000000001</v>
      </c>
      <c r="Z23" s="50">
        <f t="shared" si="4"/>
        <v>4.1400000000000325E-3</v>
      </c>
      <c r="AA23" s="52">
        <f t="shared" si="21"/>
        <v>462.33972928919638</v>
      </c>
      <c r="AB23" s="53">
        <f t="shared" si="22"/>
        <v>4.5999999999994081</v>
      </c>
      <c r="AC23" s="41" t="s">
        <v>161</v>
      </c>
      <c r="AD23" s="58">
        <v>1.07995</v>
      </c>
      <c r="AE23" s="54">
        <v>-3.7</v>
      </c>
      <c r="AF23" s="54">
        <v>0</v>
      </c>
      <c r="AG23" s="54">
        <v>-6.16</v>
      </c>
      <c r="AH23" s="115">
        <f t="shared" si="8"/>
        <v>-9.86</v>
      </c>
      <c r="AI23" s="114">
        <f t="shared" si="14"/>
        <v>-5.0000000000105516E-5</v>
      </c>
      <c r="AJ23" s="116">
        <f t="shared" si="15"/>
        <v>-6.1288265327230857E-4</v>
      </c>
      <c r="AK23" s="98">
        <f t="shared" si="16"/>
        <v>-9.8101022098457161E-4</v>
      </c>
      <c r="AL23" s="123">
        <f t="shared" ref="AL23:AL86" si="24">Q23+AH23</f>
        <v>10041.003680201215</v>
      </c>
      <c r="AM23" s="17"/>
      <c r="AN23" s="17"/>
      <c r="AO23" s="17"/>
      <c r="AP23" s="17"/>
      <c r="AQ23" s="17"/>
      <c r="AV23" s="19" t="s">
        <v>103</v>
      </c>
      <c r="BH23" s="21" t="s">
        <v>165</v>
      </c>
      <c r="BI23" s="22" t="str">
        <f t="shared" si="20"/>
        <v>Minors</v>
      </c>
      <c r="BL23" s="19" t="s">
        <v>99</v>
      </c>
      <c r="BM23" s="19" t="s">
        <v>166</v>
      </c>
    </row>
    <row r="24" spans="1:65" ht="15">
      <c r="A24" s="4"/>
      <c r="B24" s="121" t="s">
        <v>132</v>
      </c>
      <c r="C24" s="126">
        <v>90</v>
      </c>
      <c r="D24" s="39">
        <v>15</v>
      </c>
      <c r="E24" s="40" t="s">
        <v>91</v>
      </c>
      <c r="F24" s="41" t="s">
        <v>167</v>
      </c>
      <c r="G24" s="42" t="s">
        <v>92</v>
      </c>
      <c r="H24" s="42" t="s">
        <v>79</v>
      </c>
      <c r="I24" s="59" t="s">
        <v>86</v>
      </c>
      <c r="J24" s="43" t="s">
        <v>87</v>
      </c>
      <c r="K24" s="44" t="s">
        <v>103</v>
      </c>
      <c r="L24" s="45" t="s">
        <v>70</v>
      </c>
      <c r="M24" s="74" t="s">
        <v>89</v>
      </c>
      <c r="N24" s="55"/>
      <c r="O24" s="55"/>
      <c r="P24" s="55"/>
      <c r="Q24" s="46">
        <f t="shared" si="12"/>
        <v>10041.003680201215</v>
      </c>
      <c r="R24" s="47">
        <f t="shared" si="1"/>
        <v>100.41003680201214</v>
      </c>
      <c r="S24" s="48">
        <v>0.01</v>
      </c>
      <c r="T24" s="49"/>
      <c r="U24" s="56">
        <v>0.66183000000000003</v>
      </c>
      <c r="V24" s="58">
        <v>0.66200000000000003</v>
      </c>
      <c r="W24" s="50">
        <f t="shared" si="2"/>
        <v>1.7000000000000348E-4</v>
      </c>
      <c r="X24" s="51">
        <f t="shared" si="23"/>
        <v>100.41003680201214</v>
      </c>
      <c r="Y24" s="57">
        <v>0.66113999999999995</v>
      </c>
      <c r="Z24" s="50">
        <f t="shared" si="4"/>
        <v>6.9000000000007944E-4</v>
      </c>
      <c r="AA24" s="52">
        <f t="shared" si="21"/>
        <v>407.54661996114669</v>
      </c>
      <c r="AB24" s="53">
        <f t="shared" si="22"/>
        <v>4.0588235294121491</v>
      </c>
      <c r="AC24" s="41" t="s">
        <v>167</v>
      </c>
      <c r="AD24" s="58">
        <f>V24</f>
        <v>0.66200000000000003</v>
      </c>
      <c r="AE24" s="54">
        <v>-11.24</v>
      </c>
      <c r="AF24" s="54">
        <v>0</v>
      </c>
      <c r="AG24" s="54">
        <f>-X24</f>
        <v>-100.41003680201214</v>
      </c>
      <c r="AH24" s="115">
        <f t="shared" si="8"/>
        <v>-111.65003680201214</v>
      </c>
      <c r="AI24" s="114">
        <f t="shared" si="14"/>
        <v>-1.7000000000000348E-4</v>
      </c>
      <c r="AJ24" s="116">
        <f t="shared" si="15"/>
        <v>-0.01</v>
      </c>
      <c r="AK24" s="98">
        <f t="shared" si="16"/>
        <v>-1.1119410007005868E-2</v>
      </c>
      <c r="AL24" s="123">
        <f t="shared" si="24"/>
        <v>9929.3536433992031</v>
      </c>
      <c r="AM24" s="17"/>
      <c r="AN24" s="17"/>
      <c r="AO24" s="17"/>
      <c r="AP24" s="17"/>
      <c r="AQ24" s="17"/>
      <c r="AV24" s="19" t="s">
        <v>168</v>
      </c>
      <c r="BH24" s="21" t="s">
        <v>169</v>
      </c>
      <c r="BI24" s="22" t="str">
        <f t="shared" si="20"/>
        <v>Minors</v>
      </c>
      <c r="BL24" s="19" t="s">
        <v>115</v>
      </c>
      <c r="BM24" s="19" t="s">
        <v>170</v>
      </c>
    </row>
    <row r="25" spans="1:65" ht="15">
      <c r="A25" s="4"/>
      <c r="B25" s="121" t="s">
        <v>132</v>
      </c>
      <c r="C25" s="126">
        <v>91</v>
      </c>
      <c r="D25" s="39">
        <v>15</v>
      </c>
      <c r="E25" s="40" t="s">
        <v>91</v>
      </c>
      <c r="F25" s="41" t="s">
        <v>167</v>
      </c>
      <c r="G25" s="42" t="s">
        <v>92</v>
      </c>
      <c r="H25" s="42" t="s">
        <v>79</v>
      </c>
      <c r="I25" s="59" t="s">
        <v>82</v>
      </c>
      <c r="J25" s="43" t="s">
        <v>87</v>
      </c>
      <c r="K25" s="44" t="s">
        <v>103</v>
      </c>
      <c r="L25" s="45" t="s">
        <v>171</v>
      </c>
      <c r="M25" s="74" t="s">
        <v>75</v>
      </c>
      <c r="N25" s="55"/>
      <c r="O25" s="55"/>
      <c r="P25" s="55"/>
      <c r="Q25" s="46">
        <f t="shared" si="12"/>
        <v>9929.3536433992031</v>
      </c>
      <c r="R25" s="47">
        <f t="shared" si="1"/>
        <v>99.293536433992031</v>
      </c>
      <c r="S25" s="48">
        <v>0.01</v>
      </c>
      <c r="T25" s="49"/>
      <c r="U25" s="56">
        <v>1.0866800000000001</v>
      </c>
      <c r="V25" s="58">
        <v>1.0859399999999999</v>
      </c>
      <c r="W25" s="50">
        <f t="shared" si="2"/>
        <v>7.4000000000018495E-4</v>
      </c>
      <c r="X25" s="51">
        <f t="shared" si="23"/>
        <v>99.293536433992031</v>
      </c>
      <c r="Y25" s="57">
        <v>1.08901</v>
      </c>
      <c r="Z25" s="50">
        <f t="shared" si="4"/>
        <v>2.3299999999999432E-3</v>
      </c>
      <c r="AA25" s="52">
        <f t="shared" si="21"/>
        <v>312.64045931234858</v>
      </c>
      <c r="AB25" s="53">
        <f t="shared" si="22"/>
        <v>3.1486486486477849</v>
      </c>
      <c r="AC25" s="41" t="s">
        <v>167</v>
      </c>
      <c r="AD25" s="58">
        <v>1.0859399999999999</v>
      </c>
      <c r="AE25" s="54">
        <v>-4.2</v>
      </c>
      <c r="AF25" s="54">
        <v>0</v>
      </c>
      <c r="AG25" s="54">
        <v>176.04</v>
      </c>
      <c r="AH25" s="115">
        <f t="shared" si="8"/>
        <v>171.84</v>
      </c>
      <c r="AI25" s="114">
        <f t="shared" si="14"/>
        <v>-7.4000000000018495E-4</v>
      </c>
      <c r="AJ25" s="116">
        <f t="shared" si="15"/>
        <v>1.7729250696698388E-2</v>
      </c>
      <c r="AK25" s="98">
        <f t="shared" si="16"/>
        <v>1.7306262438767615E-2</v>
      </c>
      <c r="AL25" s="123">
        <f t="shared" si="24"/>
        <v>10101.193643399203</v>
      </c>
      <c r="AM25" s="17"/>
      <c r="AN25" s="17"/>
      <c r="AO25" s="17"/>
      <c r="AP25" s="17"/>
      <c r="AQ25" s="17"/>
      <c r="AV25" s="19" t="s">
        <v>172</v>
      </c>
      <c r="BH25" s="21" t="s">
        <v>173</v>
      </c>
      <c r="BI25" s="22" t="str">
        <f t="shared" si="20"/>
        <v>Minors</v>
      </c>
      <c r="BL25" s="19" t="s">
        <v>95</v>
      </c>
      <c r="BM25" s="19" t="s">
        <v>174</v>
      </c>
    </row>
    <row r="26" spans="1:65" ht="15">
      <c r="A26" s="4"/>
      <c r="B26" s="121" t="s">
        <v>132</v>
      </c>
      <c r="C26" s="126">
        <v>92</v>
      </c>
      <c r="D26" s="39">
        <v>15</v>
      </c>
      <c r="E26" s="40" t="s">
        <v>105</v>
      </c>
      <c r="F26" s="41" t="s">
        <v>175</v>
      </c>
      <c r="G26" s="42" t="s">
        <v>92</v>
      </c>
      <c r="H26" s="42" t="s">
        <v>79</v>
      </c>
      <c r="I26" s="59" t="s">
        <v>82</v>
      </c>
      <c r="J26" s="43" t="s">
        <v>87</v>
      </c>
      <c r="K26" s="44" t="s">
        <v>103</v>
      </c>
      <c r="L26" s="45" t="s">
        <v>70</v>
      </c>
      <c r="M26" s="74" t="s">
        <v>89</v>
      </c>
      <c r="N26" s="55"/>
      <c r="O26" s="55"/>
      <c r="P26" s="55"/>
      <c r="Q26" s="46">
        <f t="shared" si="12"/>
        <v>10101.193643399203</v>
      </c>
      <c r="R26" s="47">
        <f t="shared" si="1"/>
        <v>101.01193643399203</v>
      </c>
      <c r="S26" s="48">
        <v>0.01</v>
      </c>
      <c r="T26" s="49"/>
      <c r="U26" s="56">
        <v>1.0859399999999999</v>
      </c>
      <c r="V26" s="58">
        <v>1.0863499999999999</v>
      </c>
      <c r="W26" s="50">
        <f t="shared" si="2"/>
        <v>4.1000000000002146E-4</v>
      </c>
      <c r="X26" s="51">
        <f t="shared" si="23"/>
        <v>101.01193643399203</v>
      </c>
      <c r="Y26" s="57">
        <v>1.08491</v>
      </c>
      <c r="Z26" s="50">
        <f t="shared" si="4"/>
        <v>1.0299999999998644E-3</v>
      </c>
      <c r="AA26" s="52">
        <f t="shared" si="21"/>
        <v>253.76169396827476</v>
      </c>
      <c r="AB26" s="53">
        <f t="shared" si="22"/>
        <v>2.5121951219507572</v>
      </c>
      <c r="AC26" s="41" t="s">
        <v>175</v>
      </c>
      <c r="AD26" s="58">
        <v>1.0860099999999999</v>
      </c>
      <c r="AE26" s="54">
        <v>-7.74</v>
      </c>
      <c r="AF26" s="54">
        <v>0</v>
      </c>
      <c r="AG26" s="54">
        <v>-18.05</v>
      </c>
      <c r="AH26" s="115">
        <f t="shared" si="8"/>
        <v>-25.79</v>
      </c>
      <c r="AI26" s="114">
        <f t="shared" si="14"/>
        <v>-7.0000000000014495E-5</v>
      </c>
      <c r="AJ26" s="116">
        <f t="shared" si="15"/>
        <v>-1.7869175304638459E-3</v>
      </c>
      <c r="AK26" s="98">
        <f t="shared" si="16"/>
        <v>-2.5531636072389243E-3</v>
      </c>
      <c r="AL26" s="123">
        <f t="shared" si="24"/>
        <v>10075.403643399202</v>
      </c>
      <c r="AM26" s="17"/>
      <c r="AN26" s="17"/>
      <c r="AO26" s="17"/>
      <c r="AP26" s="17"/>
      <c r="AQ26" s="17"/>
      <c r="BH26" s="21" t="s">
        <v>176</v>
      </c>
      <c r="BI26" s="22" t="str">
        <f t="shared" si="20"/>
        <v>Minors</v>
      </c>
      <c r="BL26" s="19" t="s">
        <v>130</v>
      </c>
      <c r="BM26" s="19" t="s">
        <v>177</v>
      </c>
    </row>
    <row r="27" spans="1:65" ht="15">
      <c r="A27" s="4"/>
      <c r="B27" s="121" t="s">
        <v>132</v>
      </c>
      <c r="C27" s="117">
        <v>93</v>
      </c>
      <c r="D27" s="39">
        <v>15</v>
      </c>
      <c r="E27" s="40" t="s">
        <v>105</v>
      </c>
      <c r="F27" s="41" t="s">
        <v>175</v>
      </c>
      <c r="G27" s="42" t="s">
        <v>92</v>
      </c>
      <c r="H27" s="42" t="s">
        <v>79</v>
      </c>
      <c r="I27" s="59" t="s">
        <v>82</v>
      </c>
      <c r="J27" s="43" t="s">
        <v>87</v>
      </c>
      <c r="K27" s="44" t="s">
        <v>103</v>
      </c>
      <c r="L27" s="45" t="s">
        <v>70</v>
      </c>
      <c r="M27" s="74" t="s">
        <v>89</v>
      </c>
      <c r="N27" s="55"/>
      <c r="O27" s="55"/>
      <c r="P27" s="55"/>
      <c r="Q27" s="46">
        <f t="shared" si="12"/>
        <v>10075.403643399202</v>
      </c>
      <c r="R27" s="47">
        <f t="shared" si="1"/>
        <v>100.75403643399203</v>
      </c>
      <c r="S27" s="48">
        <v>0.01</v>
      </c>
      <c r="T27" s="49"/>
      <c r="U27" s="56">
        <v>1.0859399999999999</v>
      </c>
      <c r="V27" s="58">
        <v>1.08633</v>
      </c>
      <c r="W27" s="50">
        <f t="shared" si="2"/>
        <v>3.9000000000011248E-4</v>
      </c>
      <c r="X27" s="51">
        <f t="shared" si="23"/>
        <v>100.75403643399203</v>
      </c>
      <c r="Y27" s="57">
        <v>1.08491</v>
      </c>
      <c r="Z27" s="50">
        <f t="shared" si="4"/>
        <v>1.0299999999998644E-3</v>
      </c>
      <c r="AA27" s="52">
        <f t="shared" si="21"/>
        <v>266.09399365889283</v>
      </c>
      <c r="AB27" s="53">
        <f t="shared" si="22"/>
        <v>2.6410256410245316</v>
      </c>
      <c r="AC27" s="41" t="s">
        <v>175</v>
      </c>
      <c r="AD27" s="58">
        <v>1.08619</v>
      </c>
      <c r="AE27" s="54">
        <v>-8.56</v>
      </c>
      <c r="AF27" s="54">
        <v>0</v>
      </c>
      <c r="AG27" s="54">
        <v>-71.349999999999994</v>
      </c>
      <c r="AH27" s="115">
        <f t="shared" si="8"/>
        <v>-79.91</v>
      </c>
      <c r="AI27" s="114">
        <f t="shared" si="14"/>
        <v>-2.5000000000008349E-4</v>
      </c>
      <c r="AJ27" s="116">
        <f t="shared" si="15"/>
        <v>-7.0816021397558807E-3</v>
      </c>
      <c r="AK27" s="98">
        <f t="shared" si="16"/>
        <v>-7.931195893313139E-3</v>
      </c>
      <c r="AL27" s="123">
        <f t="shared" si="24"/>
        <v>9995.4936433992025</v>
      </c>
      <c r="AM27" s="17"/>
      <c r="AN27" s="17"/>
      <c r="AO27" s="17"/>
      <c r="AP27" s="17"/>
      <c r="AQ27" s="17"/>
      <c r="BH27" s="21" t="s">
        <v>178</v>
      </c>
      <c r="BI27" s="22" t="str">
        <f t="shared" si="20"/>
        <v>Minors</v>
      </c>
      <c r="BL27" s="19" t="s">
        <v>30</v>
      </c>
      <c r="BM27" s="19" t="s">
        <v>179</v>
      </c>
    </row>
    <row r="28" spans="1:65" ht="15">
      <c r="A28" s="4"/>
      <c r="B28" s="121" t="s">
        <v>132</v>
      </c>
      <c r="C28" s="126">
        <v>94</v>
      </c>
      <c r="D28" s="39">
        <v>15</v>
      </c>
      <c r="E28" s="40" t="s">
        <v>105</v>
      </c>
      <c r="F28" s="41" t="s">
        <v>175</v>
      </c>
      <c r="G28" s="42" t="s">
        <v>92</v>
      </c>
      <c r="H28" s="42" t="s">
        <v>79</v>
      </c>
      <c r="I28" s="59" t="s">
        <v>82</v>
      </c>
      <c r="J28" s="43" t="s">
        <v>87</v>
      </c>
      <c r="K28" s="44" t="s">
        <v>103</v>
      </c>
      <c r="L28" s="45" t="s">
        <v>90</v>
      </c>
      <c r="M28" s="74" t="s">
        <v>89</v>
      </c>
      <c r="N28" s="55"/>
      <c r="O28" s="55"/>
      <c r="P28" s="55"/>
      <c r="Q28" s="46">
        <f t="shared" si="12"/>
        <v>9995.4936433992025</v>
      </c>
      <c r="R28" s="47">
        <f t="shared" si="1"/>
        <v>99.954936433992032</v>
      </c>
      <c r="S28" s="48">
        <v>0.01</v>
      </c>
      <c r="T28" s="49"/>
      <c r="U28" s="56">
        <v>1.0754600000000001</v>
      </c>
      <c r="V28" s="58">
        <v>1.0748899999999999</v>
      </c>
      <c r="W28" s="50">
        <f t="shared" si="2"/>
        <v>5.7000000000018147E-4</v>
      </c>
      <c r="X28" s="51">
        <f t="shared" si="23"/>
        <v>99.954936433992032</v>
      </c>
      <c r="Y28" s="57">
        <v>1.07785</v>
      </c>
      <c r="Z28" s="50">
        <f t="shared" si="4"/>
        <v>2.3899999999998922E-3</v>
      </c>
      <c r="AA28" s="52">
        <f t="shared" si="21"/>
        <v>419.10929487220022</v>
      </c>
      <c r="AB28" s="53">
        <f t="shared" si="22"/>
        <v>4.1929824561388269</v>
      </c>
      <c r="AC28" s="41" t="s">
        <v>175</v>
      </c>
      <c r="AD28" s="58">
        <v>1.0754600000000001</v>
      </c>
      <c r="AE28" s="54">
        <v>-5.6</v>
      </c>
      <c r="AF28" s="54">
        <v>0</v>
      </c>
      <c r="AG28" s="54">
        <v>-60.4</v>
      </c>
      <c r="AH28" s="115">
        <f t="shared" si="8"/>
        <v>-66</v>
      </c>
      <c r="AI28" s="114">
        <f t="shared" si="14"/>
        <v>0</v>
      </c>
      <c r="AJ28" s="116">
        <f t="shared" si="15"/>
        <v>-6.0427230664977499E-3</v>
      </c>
      <c r="AK28" s="98">
        <f t="shared" si="16"/>
        <v>-6.6029755362392636E-3</v>
      </c>
      <c r="AL28" s="123">
        <f t="shared" si="24"/>
        <v>9929.4936433992025</v>
      </c>
      <c r="AM28" s="17"/>
      <c r="AN28" s="17"/>
      <c r="AO28" s="17"/>
      <c r="AP28" s="17"/>
      <c r="AQ28" s="17"/>
      <c r="BH28" s="21" t="s">
        <v>180</v>
      </c>
      <c r="BI28" s="22" t="str">
        <f t="shared" si="20"/>
        <v>Minors</v>
      </c>
    </row>
    <row r="29" spans="1:65" ht="15">
      <c r="A29" s="4"/>
      <c r="B29" s="121" t="s">
        <v>132</v>
      </c>
      <c r="C29" s="117">
        <v>100</v>
      </c>
      <c r="D29" s="39">
        <v>19</v>
      </c>
      <c r="E29" s="40" t="s">
        <v>71</v>
      </c>
      <c r="F29" s="41" t="s">
        <v>181</v>
      </c>
      <c r="G29" s="42" t="s">
        <v>72</v>
      </c>
      <c r="H29" s="42" t="s">
        <v>79</v>
      </c>
      <c r="I29" s="59" t="s">
        <v>121</v>
      </c>
      <c r="J29" s="43" t="s">
        <v>87</v>
      </c>
      <c r="K29" s="44" t="s">
        <v>103</v>
      </c>
      <c r="L29" s="45" t="s">
        <v>70</v>
      </c>
      <c r="M29" s="74" t="s">
        <v>75</v>
      </c>
      <c r="N29" s="55"/>
      <c r="O29" s="55"/>
      <c r="P29" s="55"/>
      <c r="Q29" s="46">
        <f t="shared" si="12"/>
        <v>9929.4936433992025</v>
      </c>
      <c r="R29" s="47">
        <f t="shared" si="1"/>
        <v>99.294936433992021</v>
      </c>
      <c r="S29" s="48">
        <v>0.01</v>
      </c>
      <c r="T29" s="49"/>
      <c r="U29" s="56">
        <v>1.2571300000000001</v>
      </c>
      <c r="V29" s="58">
        <v>1.25753</v>
      </c>
      <c r="W29" s="50">
        <f t="shared" si="2"/>
        <v>3.9999999999995595E-4</v>
      </c>
      <c r="X29" s="51">
        <f t="shared" si="23"/>
        <v>99.294936433992021</v>
      </c>
      <c r="Y29" s="57">
        <v>1.2567299999999999</v>
      </c>
      <c r="Z29" s="50">
        <f t="shared" si="4"/>
        <v>4.0000000000017799E-4</v>
      </c>
      <c r="AA29" s="52">
        <f t="shared" si="21"/>
        <v>99.294936434047145</v>
      </c>
      <c r="AB29" s="53">
        <f t="shared" si="22"/>
        <v>1.0000000000005551</v>
      </c>
      <c r="AC29" s="41" t="s">
        <v>181</v>
      </c>
      <c r="AD29" s="58">
        <f>Y29</f>
        <v>1.2567299999999999</v>
      </c>
      <c r="AE29" s="54">
        <v>-7.08</v>
      </c>
      <c r="AF29" s="54">
        <v>0</v>
      </c>
      <c r="AG29" s="54">
        <f>AA29</f>
        <v>99.294936434047145</v>
      </c>
      <c r="AH29" s="115">
        <f t="shared" si="8"/>
        <v>92.214936434047146</v>
      </c>
      <c r="AI29" s="114">
        <f t="shared" si="14"/>
        <v>4.0000000000017799E-4</v>
      </c>
      <c r="AJ29" s="116">
        <f t="shared" si="15"/>
        <v>1.0000000000005551E-2</v>
      </c>
      <c r="AK29" s="98">
        <f t="shared" si="16"/>
        <v>9.2869727043280378E-3</v>
      </c>
      <c r="AL29" s="123">
        <f t="shared" si="24"/>
        <v>10021.70857983325</v>
      </c>
      <c r="AM29" s="17"/>
      <c r="AN29" s="17"/>
      <c r="AO29" s="17"/>
      <c r="AP29" s="17"/>
      <c r="AQ29" s="17"/>
      <c r="BH29" s="21" t="s">
        <v>182</v>
      </c>
      <c r="BI29" s="22" t="str">
        <f t="shared" si="20"/>
        <v>Minors</v>
      </c>
    </row>
    <row r="30" spans="1:65" ht="15">
      <c r="A30" s="4"/>
      <c r="B30" s="121" t="s">
        <v>132</v>
      </c>
      <c r="C30" s="117">
        <v>101</v>
      </c>
      <c r="D30" s="39">
        <v>19</v>
      </c>
      <c r="E30" s="40" t="s">
        <v>91</v>
      </c>
      <c r="F30" s="41" t="s">
        <v>183</v>
      </c>
      <c r="G30" s="42" t="s">
        <v>72</v>
      </c>
      <c r="H30" s="42" t="s">
        <v>79</v>
      </c>
      <c r="I30" s="59" t="s">
        <v>121</v>
      </c>
      <c r="J30" s="43" t="s">
        <v>87</v>
      </c>
      <c r="K30" s="44" t="s">
        <v>103</v>
      </c>
      <c r="L30" s="45" t="s">
        <v>70</v>
      </c>
      <c r="M30" s="74" t="s">
        <v>75</v>
      </c>
      <c r="N30" s="55"/>
      <c r="O30" s="55"/>
      <c r="P30" s="55"/>
      <c r="Q30" s="46">
        <f t="shared" si="12"/>
        <v>10021.70857983325</v>
      </c>
      <c r="R30" s="47">
        <f t="shared" si="1"/>
        <v>100.2170857983325</v>
      </c>
      <c r="S30" s="48">
        <v>0.01</v>
      </c>
      <c r="T30" s="49"/>
      <c r="U30" s="56">
        <v>1.25427</v>
      </c>
      <c r="V30" s="58">
        <v>1.2547699999999999</v>
      </c>
      <c r="W30" s="50">
        <f t="shared" si="2"/>
        <v>4.9999999999994493E-4</v>
      </c>
      <c r="X30" s="51">
        <f t="shared" si="23"/>
        <v>100.2170857983325</v>
      </c>
      <c r="Y30" s="57">
        <v>1.25376</v>
      </c>
      <c r="Z30" s="50">
        <f t="shared" si="4"/>
        <v>5.1000000000001044E-4</v>
      </c>
      <c r="AA30" s="52">
        <f t="shared" si="21"/>
        <v>102.22142751431251</v>
      </c>
      <c r="AB30" s="53">
        <f t="shared" si="22"/>
        <v>1.0200000000001332</v>
      </c>
      <c r="AC30" s="41" t="s">
        <v>183</v>
      </c>
      <c r="AD30" s="58">
        <f>Y30</f>
        <v>1.25376</v>
      </c>
      <c r="AE30" s="54">
        <v>-6.54</v>
      </c>
      <c r="AF30" s="54">
        <v>0</v>
      </c>
      <c r="AG30" s="54">
        <f>AA30</f>
        <v>102.22142751431251</v>
      </c>
      <c r="AH30" s="115">
        <f t="shared" si="8"/>
        <v>95.681427514312503</v>
      </c>
      <c r="AI30" s="114">
        <f t="shared" si="14"/>
        <v>5.1000000000001044E-4</v>
      </c>
      <c r="AJ30" s="116">
        <f t="shared" si="15"/>
        <v>1.0200000000001333E-2</v>
      </c>
      <c r="AK30" s="98">
        <f t="shared" si="16"/>
        <v>9.5474166657422924E-3</v>
      </c>
      <c r="AL30" s="123">
        <f t="shared" si="24"/>
        <v>10117.390007347563</v>
      </c>
      <c r="AM30" s="17"/>
      <c r="AN30" s="17"/>
      <c r="AO30" s="17"/>
      <c r="AP30" s="17"/>
      <c r="AQ30" s="17"/>
      <c r="BH30" s="21" t="s">
        <v>184</v>
      </c>
      <c r="BI30" s="22" t="str">
        <f t="shared" si="20"/>
        <v>Minors</v>
      </c>
    </row>
    <row r="31" spans="1:65" ht="15">
      <c r="A31" s="4"/>
      <c r="B31" s="121" t="s">
        <v>132</v>
      </c>
      <c r="C31" s="117">
        <v>102</v>
      </c>
      <c r="D31" s="39">
        <v>19</v>
      </c>
      <c r="E31" s="40" t="s">
        <v>91</v>
      </c>
      <c r="F31" s="41" t="s">
        <v>183</v>
      </c>
      <c r="G31" s="42" t="s">
        <v>92</v>
      </c>
      <c r="H31" s="42" t="s">
        <v>79</v>
      </c>
      <c r="I31" s="59" t="s">
        <v>82</v>
      </c>
      <c r="J31" s="43" t="s">
        <v>87</v>
      </c>
      <c r="K31" s="44" t="s">
        <v>103</v>
      </c>
      <c r="L31" s="45" t="s">
        <v>70</v>
      </c>
      <c r="M31" s="74" t="s">
        <v>89</v>
      </c>
      <c r="N31" s="55"/>
      <c r="O31" s="55"/>
      <c r="P31" s="55"/>
      <c r="Q31" s="46">
        <f t="shared" si="12"/>
        <v>10117.390007347563</v>
      </c>
      <c r="R31" s="47">
        <f t="shared" si="1"/>
        <v>101.17390007347564</v>
      </c>
      <c r="S31" s="48">
        <v>0.01</v>
      </c>
      <c r="T31" s="49"/>
      <c r="U31" s="56">
        <v>1.0775300000000001</v>
      </c>
      <c r="V31" s="58">
        <v>1.07789</v>
      </c>
      <c r="W31" s="50">
        <f t="shared" si="2"/>
        <v>3.5999999999991594E-4</v>
      </c>
      <c r="X31" s="51">
        <f t="shared" si="23"/>
        <v>101.17390007347564</v>
      </c>
      <c r="Y31" s="57">
        <v>1.07717</v>
      </c>
      <c r="Z31" s="50">
        <f t="shared" si="4"/>
        <v>3.6000000000013799E-4</v>
      </c>
      <c r="AA31" s="52">
        <f t="shared" si="21"/>
        <v>101.17390007353805</v>
      </c>
      <c r="AB31" s="53">
        <f t="shared" si="22"/>
        <v>1.0000000000006168</v>
      </c>
      <c r="AC31" s="41" t="s">
        <v>183</v>
      </c>
      <c r="AD31" s="58">
        <f>V31</f>
        <v>1.07789</v>
      </c>
      <c r="AE31" s="54">
        <v>-8.82</v>
      </c>
      <c r="AF31" s="54">
        <v>0</v>
      </c>
      <c r="AG31" s="54">
        <f>-X31</f>
        <v>-101.17390007347564</v>
      </c>
      <c r="AH31" s="115">
        <f t="shared" si="8"/>
        <v>-109.99390007347563</v>
      </c>
      <c r="AI31" s="114">
        <f t="shared" si="14"/>
        <v>-3.5999999999991594E-4</v>
      </c>
      <c r="AJ31" s="116">
        <f t="shared" si="15"/>
        <v>-0.01</v>
      </c>
      <c r="AK31" s="98">
        <f t="shared" si="16"/>
        <v>-1.0871766334360407E-2</v>
      </c>
      <c r="AL31" s="123">
        <f t="shared" si="24"/>
        <v>10007.396107274088</v>
      </c>
      <c r="AM31" s="17"/>
      <c r="AN31" s="17"/>
      <c r="AO31" s="17"/>
      <c r="AP31" s="17"/>
      <c r="AQ31" s="17"/>
      <c r="BH31" s="21" t="s">
        <v>185</v>
      </c>
      <c r="BI31" s="22" t="str">
        <f t="shared" si="20"/>
        <v>Minors</v>
      </c>
    </row>
    <row r="32" spans="1:65" ht="15">
      <c r="A32" s="4"/>
      <c r="B32" s="121" t="s">
        <v>132</v>
      </c>
      <c r="C32" s="117">
        <v>103</v>
      </c>
      <c r="D32" s="39">
        <v>19</v>
      </c>
      <c r="E32" s="40" t="s">
        <v>105</v>
      </c>
      <c r="F32" s="41" t="s">
        <v>186</v>
      </c>
      <c r="G32" s="42" t="s">
        <v>92</v>
      </c>
      <c r="H32" s="42" t="s">
        <v>79</v>
      </c>
      <c r="I32" s="59" t="s">
        <v>121</v>
      </c>
      <c r="J32" s="43" t="s">
        <v>87</v>
      </c>
      <c r="K32" s="44" t="s">
        <v>103</v>
      </c>
      <c r="L32" s="45" t="s">
        <v>90</v>
      </c>
      <c r="M32" s="74" t="s">
        <v>89</v>
      </c>
      <c r="N32" s="55"/>
      <c r="O32" s="55"/>
      <c r="P32" s="55"/>
      <c r="Q32" s="46">
        <f t="shared" si="12"/>
        <v>10007.396107274088</v>
      </c>
      <c r="R32" s="47">
        <f t="shared" si="1"/>
        <v>100.07396107274087</v>
      </c>
      <c r="S32" s="48">
        <v>0.01</v>
      </c>
      <c r="T32" s="49"/>
      <c r="U32" s="56">
        <v>1.2478800000000001</v>
      </c>
      <c r="V32" s="58">
        <v>1.2474099999999999</v>
      </c>
      <c r="W32" s="50">
        <f t="shared" si="2"/>
        <v>4.7000000000019249E-4</v>
      </c>
      <c r="X32" s="51">
        <f t="shared" si="23"/>
        <v>100.07396107274087</v>
      </c>
      <c r="Y32" s="57">
        <v>1.2484200000000001</v>
      </c>
      <c r="Z32" s="50">
        <f t="shared" si="4"/>
        <v>5.3999999999998494E-4</v>
      </c>
      <c r="AA32" s="52">
        <f t="shared" si="21"/>
        <v>114.97859357288603</v>
      </c>
      <c r="AB32" s="53">
        <f t="shared" si="22"/>
        <v>1.1489361702122634</v>
      </c>
      <c r="AC32" s="41" t="s">
        <v>186</v>
      </c>
      <c r="AD32" s="58">
        <v>1.2484200000000001</v>
      </c>
      <c r="AE32" s="54">
        <v>-6.68</v>
      </c>
      <c r="AF32" s="54">
        <v>0</v>
      </c>
      <c r="AG32" s="54">
        <f>-X32</f>
        <v>-100.07396107274087</v>
      </c>
      <c r="AH32" s="115">
        <f t="shared" si="8"/>
        <v>-106.75396107274088</v>
      </c>
      <c r="AI32" s="114">
        <f t="shared" si="14"/>
        <v>5.3999999999998494E-4</v>
      </c>
      <c r="AJ32" s="116">
        <f t="shared" si="15"/>
        <v>-0.01</v>
      </c>
      <c r="AK32" s="98">
        <f t="shared" si="16"/>
        <v>-1.0667506305176081E-2</v>
      </c>
      <c r="AL32" s="123">
        <f t="shared" si="24"/>
        <v>9900.6421462013459</v>
      </c>
      <c r="AM32" s="17"/>
      <c r="AN32" s="17"/>
      <c r="AO32" s="17"/>
      <c r="AP32" s="17"/>
      <c r="AQ32" s="17"/>
      <c r="BH32" s="21" t="s">
        <v>114</v>
      </c>
      <c r="BI32" s="22" t="str">
        <f t="shared" si="20"/>
        <v>Minors</v>
      </c>
    </row>
    <row r="33" spans="1:61" ht="15">
      <c r="A33" s="4"/>
      <c r="B33" s="121" t="s">
        <v>132</v>
      </c>
      <c r="C33" s="117">
        <v>104</v>
      </c>
      <c r="D33" s="39">
        <v>19</v>
      </c>
      <c r="E33" s="40" t="s">
        <v>101</v>
      </c>
      <c r="F33" s="41" t="s">
        <v>187</v>
      </c>
      <c r="G33" s="42" t="s">
        <v>72</v>
      </c>
      <c r="H33" s="42" t="s">
        <v>79</v>
      </c>
      <c r="I33" s="59" t="s">
        <v>121</v>
      </c>
      <c r="J33" s="43" t="s">
        <v>87</v>
      </c>
      <c r="K33" s="44" t="s">
        <v>103</v>
      </c>
      <c r="L33" s="45" t="s">
        <v>90</v>
      </c>
      <c r="M33" s="74" t="s">
        <v>89</v>
      </c>
      <c r="N33" s="55"/>
      <c r="O33" s="55"/>
      <c r="P33" s="55"/>
      <c r="Q33" s="46">
        <f>AL32</f>
        <v>9900.6421462013459</v>
      </c>
      <c r="R33" s="47">
        <f t="shared" si="1"/>
        <v>99.006421462013463</v>
      </c>
      <c r="S33" s="48">
        <v>0.01</v>
      </c>
      <c r="T33" s="49"/>
      <c r="U33" s="56">
        <v>1.2477400000000001</v>
      </c>
      <c r="V33" s="58">
        <v>1.24729</v>
      </c>
      <c r="W33" s="50">
        <f t="shared" si="2"/>
        <v>4.5000000000006146E-4</v>
      </c>
      <c r="X33" s="51">
        <f t="shared" si="23"/>
        <v>99.006421462013463</v>
      </c>
      <c r="Y33" s="57">
        <v>1.2481899999999999</v>
      </c>
      <c r="Z33" s="50">
        <f t="shared" si="4"/>
        <v>4.4999999999983942E-4</v>
      </c>
      <c r="AA33" s="52">
        <f t="shared" si="21"/>
        <v>99.006421461964621</v>
      </c>
      <c r="AB33" s="53">
        <f t="shared" si="22"/>
        <v>0.99999999999950662</v>
      </c>
      <c r="AC33" s="41" t="s">
        <v>187</v>
      </c>
      <c r="AD33" s="58">
        <v>1.2474799999999999</v>
      </c>
      <c r="AE33" s="54">
        <v>-6.96</v>
      </c>
      <c r="AF33" s="54">
        <v>0</v>
      </c>
      <c r="AG33" s="54">
        <f>-X33</f>
        <v>-99.006421462013463</v>
      </c>
      <c r="AH33" s="115">
        <f t="shared" si="8"/>
        <v>-105.96642146201346</v>
      </c>
      <c r="AI33" s="114">
        <f t="shared" si="14"/>
        <v>-2.60000000000149E-4</v>
      </c>
      <c r="AJ33" s="116">
        <f t="shared" si="15"/>
        <v>-0.01</v>
      </c>
      <c r="AK33" s="98">
        <f t="shared" si="16"/>
        <v>-1.0702984705155754E-2</v>
      </c>
      <c r="AL33" s="123">
        <f t="shared" si="24"/>
        <v>9794.6757247393325</v>
      </c>
      <c r="AM33" s="17"/>
      <c r="AN33" s="17"/>
      <c r="AO33" s="17"/>
      <c r="AP33" s="17"/>
      <c r="AQ33" s="17"/>
      <c r="BH33" s="21" t="s">
        <v>188</v>
      </c>
      <c r="BI33" s="22" t="str">
        <f t="shared" si="20"/>
        <v>Minors</v>
      </c>
    </row>
    <row r="34" spans="1:61" ht="15">
      <c r="A34" s="4"/>
      <c r="B34" s="121" t="s">
        <v>132</v>
      </c>
      <c r="C34" s="117">
        <v>105</v>
      </c>
      <c r="D34" s="39">
        <v>20</v>
      </c>
      <c r="E34" s="40" t="s">
        <v>71</v>
      </c>
      <c r="F34" s="41" t="s">
        <v>189</v>
      </c>
      <c r="G34" s="42" t="s">
        <v>72</v>
      </c>
      <c r="H34" s="42" t="s">
        <v>79</v>
      </c>
      <c r="I34" s="59" t="s">
        <v>121</v>
      </c>
      <c r="J34" s="43" t="s">
        <v>87</v>
      </c>
      <c r="K34" s="44" t="s">
        <v>142</v>
      </c>
      <c r="L34" s="45" t="s">
        <v>70</v>
      </c>
      <c r="M34" s="74" t="s">
        <v>89</v>
      </c>
      <c r="N34" s="55"/>
      <c r="O34" s="55"/>
      <c r="P34" s="55"/>
      <c r="Q34" s="46">
        <f>AL33</f>
        <v>9794.6757247393325</v>
      </c>
      <c r="R34" s="47">
        <f t="shared" si="1"/>
        <v>97.946757247393322</v>
      </c>
      <c r="S34" s="48">
        <v>0.01</v>
      </c>
      <c r="T34" s="49"/>
      <c r="U34" s="56">
        <v>1.25241</v>
      </c>
      <c r="V34" s="58">
        <v>1.25282</v>
      </c>
      <c r="W34" s="50">
        <f t="shared" si="2"/>
        <v>4.1000000000002146E-4</v>
      </c>
      <c r="X34" s="51">
        <f t="shared" si="23"/>
        <v>97.946757247393322</v>
      </c>
      <c r="Y34" s="57">
        <v>1.252</v>
      </c>
      <c r="Z34" s="50">
        <f t="shared" si="4"/>
        <v>4.1000000000002146E-4</v>
      </c>
      <c r="AA34" s="52">
        <f t="shared" si="21"/>
        <v>97.946757247393322</v>
      </c>
      <c r="AB34" s="53">
        <f t="shared" si="22"/>
        <v>1</v>
      </c>
      <c r="AC34" s="41" t="s">
        <v>189</v>
      </c>
      <c r="AD34" s="58">
        <f>V34</f>
        <v>1.25282</v>
      </c>
      <c r="AE34" s="54">
        <v>-7.4</v>
      </c>
      <c r="AF34" s="54">
        <v>0</v>
      </c>
      <c r="AG34" s="54">
        <f>-X34</f>
        <v>-97.946757247393322</v>
      </c>
      <c r="AH34" s="115">
        <f t="shared" si="8"/>
        <v>-105.34675724739333</v>
      </c>
      <c r="AI34" s="114">
        <f t="shared" si="14"/>
        <v>-4.1000000000002146E-4</v>
      </c>
      <c r="AJ34" s="116">
        <f t="shared" si="15"/>
        <v>-0.01</v>
      </c>
      <c r="AK34" s="98">
        <f t="shared" si="16"/>
        <v>-1.0755512505769756E-2</v>
      </c>
      <c r="AL34" s="123">
        <f t="shared" si="24"/>
        <v>9689.3289674919397</v>
      </c>
      <c r="AM34" s="17"/>
      <c r="AN34" s="17"/>
      <c r="AO34" s="17"/>
      <c r="AP34" s="17"/>
      <c r="AQ34" s="17"/>
      <c r="BH34" s="21" t="s">
        <v>190</v>
      </c>
      <c r="BI34" s="22" t="str">
        <f t="shared" si="20"/>
        <v>Minors</v>
      </c>
    </row>
    <row r="35" spans="1:61" ht="15">
      <c r="A35" s="4"/>
      <c r="B35" s="121" t="s">
        <v>132</v>
      </c>
      <c r="C35" s="117">
        <v>106</v>
      </c>
      <c r="D35" s="39">
        <v>20</v>
      </c>
      <c r="E35" s="40" t="s">
        <v>71</v>
      </c>
      <c r="F35" s="41" t="s">
        <v>189</v>
      </c>
      <c r="G35" s="42" t="s">
        <v>92</v>
      </c>
      <c r="H35" s="42" t="s">
        <v>79</v>
      </c>
      <c r="I35" s="59" t="s">
        <v>121</v>
      </c>
      <c r="J35" s="43" t="s">
        <v>87</v>
      </c>
      <c r="K35" s="44" t="s">
        <v>142</v>
      </c>
      <c r="L35" s="45" t="s">
        <v>70</v>
      </c>
      <c r="M35" s="74" t="s">
        <v>89</v>
      </c>
      <c r="N35" s="55"/>
      <c r="O35" s="55"/>
      <c r="P35" s="55"/>
      <c r="Q35" s="46">
        <f>AL34</f>
        <v>9689.3289674919397</v>
      </c>
      <c r="R35" s="47">
        <f t="shared" si="1"/>
        <v>96.893289674919401</v>
      </c>
      <c r="S35" s="48">
        <v>0.01</v>
      </c>
      <c r="T35" s="49"/>
      <c r="U35" s="56">
        <v>1.2559100000000001</v>
      </c>
      <c r="V35" s="58">
        <v>1.25647</v>
      </c>
      <c r="W35" s="50">
        <f t="shared" si="2"/>
        <v>5.5999999999989392E-4</v>
      </c>
      <c r="X35" s="51">
        <f t="shared" si="23"/>
        <v>96.893289674919401</v>
      </c>
      <c r="Y35" s="57">
        <v>1.25535</v>
      </c>
      <c r="Z35" s="50">
        <f t="shared" si="4"/>
        <v>5.6000000000011596E-4</v>
      </c>
      <c r="AA35" s="52">
        <f t="shared" si="21"/>
        <v>96.893289674957828</v>
      </c>
      <c r="AB35" s="53">
        <f t="shared" si="22"/>
        <v>1.0000000000003966</v>
      </c>
      <c r="AC35" s="41" t="s">
        <v>189</v>
      </c>
      <c r="AD35" s="58">
        <f>V35</f>
        <v>1.25647</v>
      </c>
      <c r="AE35" s="54">
        <v>-5.61</v>
      </c>
      <c r="AF35" s="54">
        <v>0</v>
      </c>
      <c r="AG35" s="54">
        <f>-X35</f>
        <v>-96.893289674919401</v>
      </c>
      <c r="AH35" s="115">
        <f t="shared" si="8"/>
        <v>-102.5032896749194</v>
      </c>
      <c r="AI35" s="114">
        <f t="shared" si="14"/>
        <v>-5.5999999999989392E-4</v>
      </c>
      <c r="AJ35" s="116">
        <f t="shared" si="15"/>
        <v>-0.01</v>
      </c>
      <c r="AK35" s="98">
        <f t="shared" si="16"/>
        <v>-1.0578987463303368E-2</v>
      </c>
      <c r="AL35" s="123">
        <f t="shared" si="24"/>
        <v>9586.8256778170198</v>
      </c>
      <c r="AM35" s="17"/>
      <c r="AN35" s="17"/>
      <c r="AO35" s="17"/>
      <c r="AP35" s="17"/>
      <c r="AQ35" s="17"/>
      <c r="BH35" s="21" t="s">
        <v>191</v>
      </c>
      <c r="BI35" s="22" t="str">
        <f t="shared" si="20"/>
        <v>Minors</v>
      </c>
    </row>
    <row r="36" spans="1:61" ht="15">
      <c r="A36" s="4"/>
      <c r="B36" s="121" t="s">
        <v>132</v>
      </c>
      <c r="C36" s="117">
        <v>107</v>
      </c>
      <c r="D36" s="39">
        <v>21</v>
      </c>
      <c r="E36" s="40" t="s">
        <v>71</v>
      </c>
      <c r="F36" s="41" t="s">
        <v>192</v>
      </c>
      <c r="G36" s="42" t="s">
        <v>92</v>
      </c>
      <c r="H36" s="42" t="s">
        <v>79</v>
      </c>
      <c r="I36" s="59" t="s">
        <v>82</v>
      </c>
      <c r="J36" s="43" t="s">
        <v>87</v>
      </c>
      <c r="K36" s="44" t="s">
        <v>103</v>
      </c>
      <c r="L36" s="45" t="s">
        <v>90</v>
      </c>
      <c r="M36" s="74" t="s">
        <v>75</v>
      </c>
      <c r="N36" s="55"/>
      <c r="O36" s="55"/>
      <c r="P36" s="55"/>
      <c r="Q36" s="46">
        <f>AL35</f>
        <v>9586.8256778170198</v>
      </c>
      <c r="R36" s="47">
        <f t="shared" si="1"/>
        <v>95.868256778170206</v>
      </c>
      <c r="S36" s="48">
        <v>0.01</v>
      </c>
      <c r="T36" s="49"/>
      <c r="U36" s="56">
        <v>1.0859300000000001</v>
      </c>
      <c r="V36" s="58">
        <v>1.0855600000000001</v>
      </c>
      <c r="W36" s="50">
        <f t="shared" si="2"/>
        <v>3.6999999999998145E-4</v>
      </c>
      <c r="X36" s="51">
        <f t="shared" si="23"/>
        <v>95.868256778170206</v>
      </c>
      <c r="Y36" s="57">
        <v>1.0865499999999999</v>
      </c>
      <c r="Z36" s="50">
        <f t="shared" si="4"/>
        <v>6.199999999998429E-4</v>
      </c>
      <c r="AA36" s="52">
        <f t="shared" si="21"/>
        <v>160.64410595257687</v>
      </c>
      <c r="AB36" s="53">
        <f t="shared" si="22"/>
        <v>1.675675675675335</v>
      </c>
      <c r="AC36" s="41" t="s">
        <v>192</v>
      </c>
      <c r="AD36" s="58">
        <f>Y36</f>
        <v>1.0865499999999999</v>
      </c>
      <c r="AE36" s="54">
        <v>-8.23</v>
      </c>
      <c r="AF36" s="54">
        <v>0</v>
      </c>
      <c r="AG36" s="54">
        <f>AA36</f>
        <v>160.64410595257687</v>
      </c>
      <c r="AH36" s="115">
        <f t="shared" si="8"/>
        <v>152.41410595257688</v>
      </c>
      <c r="AI36" s="114">
        <f t="shared" si="14"/>
        <v>6.199999999998429E-4</v>
      </c>
      <c r="AJ36" s="116">
        <f t="shared" si="15"/>
        <v>1.6756756756753349E-2</v>
      </c>
      <c r="AK36" s="98">
        <f t="shared" si="16"/>
        <v>1.5898286990369319E-2</v>
      </c>
      <c r="AL36" s="123">
        <f t="shared" si="24"/>
        <v>9739.2397837695971</v>
      </c>
      <c r="AM36" s="17"/>
      <c r="AN36" s="17"/>
      <c r="AO36" s="17"/>
      <c r="AP36" s="17"/>
      <c r="AQ36" s="17"/>
      <c r="BH36" s="21" t="s">
        <v>193</v>
      </c>
      <c r="BI36" s="22" t="str">
        <f t="shared" si="20"/>
        <v>Minors</v>
      </c>
    </row>
    <row r="37" spans="1:61" ht="15">
      <c r="A37" s="4"/>
      <c r="B37" s="121" t="s">
        <v>132</v>
      </c>
      <c r="C37" s="117">
        <v>108</v>
      </c>
      <c r="D37" s="39">
        <v>22</v>
      </c>
      <c r="E37" s="40" t="s">
        <v>71</v>
      </c>
      <c r="F37" s="41" t="s">
        <v>194</v>
      </c>
      <c r="G37" s="42" t="s">
        <v>92</v>
      </c>
      <c r="H37" s="42" t="s">
        <v>79</v>
      </c>
      <c r="I37" s="59" t="s">
        <v>82</v>
      </c>
      <c r="J37" s="43" t="s">
        <v>93</v>
      </c>
      <c r="K37" s="44" t="s">
        <v>103</v>
      </c>
      <c r="L37" s="45" t="s">
        <v>90</v>
      </c>
      <c r="M37" s="74" t="s">
        <v>195</v>
      </c>
      <c r="N37" s="55"/>
      <c r="O37" s="55"/>
      <c r="P37" s="55"/>
      <c r="Q37" s="46">
        <f>AL36</f>
        <v>9739.2397837695971</v>
      </c>
      <c r="R37" s="47">
        <f t="shared" si="1"/>
        <v>97.392397837695967</v>
      </c>
      <c r="S37" s="48">
        <v>0.01</v>
      </c>
      <c r="T37" s="49"/>
      <c r="U37" s="56">
        <v>1.0847</v>
      </c>
      <c r="V37" s="58">
        <v>1.08432</v>
      </c>
      <c r="W37" s="50">
        <f t="shared" si="2"/>
        <v>3.8000000000004697E-4</v>
      </c>
      <c r="X37" s="51">
        <f t="shared" si="23"/>
        <v>97.392397837695967</v>
      </c>
      <c r="Y37" s="57">
        <v>1.0856399999999999</v>
      </c>
      <c r="Z37" s="50">
        <f t="shared" si="4"/>
        <v>9.3999999999994088E-4</v>
      </c>
      <c r="AA37" s="52">
        <f t="shared" si="21"/>
        <v>240.91803675636089</v>
      </c>
      <c r="AB37" s="53">
        <f t="shared" si="22"/>
        <v>2.4736842105258545</v>
      </c>
      <c r="AC37" s="41" t="s">
        <v>194</v>
      </c>
      <c r="AD37" s="58">
        <v>1.0849599999999999</v>
      </c>
      <c r="AE37" s="54">
        <v>-8.1</v>
      </c>
      <c r="AF37" s="54">
        <v>0</v>
      </c>
      <c r="AG37" s="54">
        <v>57</v>
      </c>
      <c r="AH37" s="115">
        <f t="shared" si="8"/>
        <v>48.9</v>
      </c>
      <c r="AI37" s="114">
        <f t="shared" si="14"/>
        <v>2.5999999999992696E-4</v>
      </c>
      <c r="AJ37" s="116">
        <f t="shared" si="15"/>
        <v>5.8526128594749531E-3</v>
      </c>
      <c r="AK37" s="98">
        <f t="shared" si="16"/>
        <v>5.0209257689179856E-3</v>
      </c>
      <c r="AL37" s="123">
        <f t="shared" si="24"/>
        <v>9788.1397837695968</v>
      </c>
      <c r="AM37" s="17"/>
      <c r="AN37" s="17"/>
      <c r="AO37" s="17"/>
      <c r="AP37" s="17"/>
      <c r="AQ37" s="17"/>
      <c r="BH37" s="21" t="s">
        <v>196</v>
      </c>
      <c r="BI37" s="22" t="str">
        <f t="shared" si="20"/>
        <v>Minors</v>
      </c>
    </row>
    <row r="38" spans="1:61" ht="15">
      <c r="A38" s="4"/>
      <c r="B38" s="121" t="s">
        <v>132</v>
      </c>
      <c r="C38" s="117">
        <v>109</v>
      </c>
      <c r="D38" s="39">
        <v>22</v>
      </c>
      <c r="E38" s="40" t="s">
        <v>101</v>
      </c>
      <c r="F38" s="41" t="s">
        <v>197</v>
      </c>
      <c r="G38" s="42" t="s">
        <v>72</v>
      </c>
      <c r="H38" s="42" t="s">
        <v>79</v>
      </c>
      <c r="I38" s="59" t="s">
        <v>86</v>
      </c>
      <c r="J38" s="43" t="s">
        <v>73</v>
      </c>
      <c r="K38" s="44" t="s">
        <v>103</v>
      </c>
      <c r="L38" s="45" t="s">
        <v>70</v>
      </c>
      <c r="M38" s="74" t="s">
        <v>75</v>
      </c>
      <c r="N38" s="55"/>
      <c r="O38" s="55"/>
      <c r="P38" s="55"/>
      <c r="Q38" s="46">
        <f>AL37</f>
        <v>9788.1397837695968</v>
      </c>
      <c r="R38" s="47">
        <f t="shared" si="1"/>
        <v>97.881397837695971</v>
      </c>
      <c r="S38" s="48">
        <v>0.01</v>
      </c>
      <c r="T38" s="49"/>
      <c r="U38" s="56">
        <v>0.66083000000000003</v>
      </c>
      <c r="V38" s="58">
        <v>0.66112000000000004</v>
      </c>
      <c r="W38" s="50">
        <f t="shared" si="2"/>
        <v>2.9000000000001247E-4</v>
      </c>
      <c r="X38" s="51">
        <f t="shared" si="23"/>
        <v>97.881397837695971</v>
      </c>
      <c r="Y38" s="57">
        <v>0.66052999999999995</v>
      </c>
      <c r="Z38" s="50">
        <f t="shared" si="4"/>
        <v>3.0000000000007798E-4</v>
      </c>
      <c r="AA38" s="52">
        <f t="shared" si="21"/>
        <v>101.2566184528109</v>
      </c>
      <c r="AB38" s="53">
        <f t="shared" si="22"/>
        <v>1.034482758620914</v>
      </c>
      <c r="AC38" s="41" t="s">
        <v>197</v>
      </c>
      <c r="AD38" s="58">
        <f>Y38</f>
        <v>0.66052999999999995</v>
      </c>
      <c r="AE38" s="54">
        <v>-9.1</v>
      </c>
      <c r="AF38" s="54">
        <v>0</v>
      </c>
      <c r="AG38" s="54">
        <f>X38</f>
        <v>97.881397837695971</v>
      </c>
      <c r="AH38" s="115">
        <f t="shared" si="8"/>
        <v>88.781397837695977</v>
      </c>
      <c r="AI38" s="114">
        <f t="shared" si="14"/>
        <v>3.0000000000007798E-4</v>
      </c>
      <c r="AJ38" s="116">
        <f t="shared" si="15"/>
        <v>0.01</v>
      </c>
      <c r="AK38" s="98">
        <f t="shared" si="16"/>
        <v>9.0703034283297276E-3</v>
      </c>
      <c r="AL38" s="123">
        <f t="shared" si="24"/>
        <v>9876.921181607293</v>
      </c>
      <c r="AM38" s="17"/>
      <c r="AN38" s="17"/>
      <c r="AO38" s="17"/>
      <c r="AP38" s="17"/>
      <c r="AQ38" s="17"/>
      <c r="BH38" s="21" t="s">
        <v>198</v>
      </c>
      <c r="BI38" s="22" t="str">
        <f t="shared" si="20"/>
        <v>Minors</v>
      </c>
    </row>
    <row r="39" spans="1:61" ht="15">
      <c r="A39" s="4"/>
      <c r="B39" s="121" t="s">
        <v>132</v>
      </c>
      <c r="C39" s="117">
        <v>110</v>
      </c>
      <c r="D39" s="39">
        <v>23</v>
      </c>
      <c r="E39" s="40" t="s">
        <v>71</v>
      </c>
      <c r="F39" s="41" t="s">
        <v>199</v>
      </c>
      <c r="G39" s="42" t="s">
        <v>72</v>
      </c>
      <c r="H39" s="42" t="s">
        <v>79</v>
      </c>
      <c r="I39" s="59" t="s">
        <v>121</v>
      </c>
      <c r="J39" s="43" t="s">
        <v>93</v>
      </c>
      <c r="K39" s="44" t="s">
        <v>103</v>
      </c>
      <c r="L39" s="45" t="s">
        <v>90</v>
      </c>
      <c r="M39" s="74" t="s">
        <v>89</v>
      </c>
      <c r="N39" s="55"/>
      <c r="O39" s="55"/>
      <c r="P39" s="55"/>
      <c r="Q39" s="46">
        <f t="shared" ref="Q39:Q101" si="25">AL38</f>
        <v>9876.921181607293</v>
      </c>
      <c r="R39" s="47">
        <f t="shared" si="1"/>
        <v>98.769211816072925</v>
      </c>
      <c r="S39" s="48">
        <v>0.01</v>
      </c>
      <c r="T39" s="49"/>
      <c r="U39" s="56">
        <v>1.2736700000000001</v>
      </c>
      <c r="V39" s="58">
        <v>1.27325</v>
      </c>
      <c r="W39" s="50">
        <f t="shared" si="2"/>
        <v>4.2000000000008697E-4</v>
      </c>
      <c r="X39" s="51">
        <f t="shared" si="23"/>
        <v>98.769211816072925</v>
      </c>
      <c r="Y39" s="57">
        <v>1.2740899999999999</v>
      </c>
      <c r="Z39" s="50">
        <f t="shared" si="4"/>
        <v>4.1999999999986493E-4</v>
      </c>
      <c r="AA39" s="52">
        <f t="shared" si="21"/>
        <v>98.7692118160207</v>
      </c>
      <c r="AB39" s="53">
        <f t="shared" si="22"/>
        <v>0.99999999999947131</v>
      </c>
      <c r="AC39" s="41" t="s">
        <v>199</v>
      </c>
      <c r="AD39" s="58">
        <v>1.27352</v>
      </c>
      <c r="AE39" s="54">
        <v>-7.08</v>
      </c>
      <c r="AF39" s="54">
        <v>0</v>
      </c>
      <c r="AG39" s="54">
        <v>-61.32</v>
      </c>
      <c r="AH39" s="115">
        <f t="shared" si="8"/>
        <v>-68.400000000000006</v>
      </c>
      <c r="AI39" s="114">
        <f t="shared" si="14"/>
        <v>-1.500000000000945E-4</v>
      </c>
      <c r="AJ39" s="116">
        <f t="shared" si="15"/>
        <v>-6.2084124063062802E-3</v>
      </c>
      <c r="AK39" s="98">
        <f t="shared" si="16"/>
        <v>-6.9252349737663017E-3</v>
      </c>
      <c r="AL39" s="123">
        <f t="shared" si="24"/>
        <v>9808.5211816072933</v>
      </c>
      <c r="AM39" s="17"/>
      <c r="AN39" s="17"/>
      <c r="AO39" s="17"/>
      <c r="AP39" s="17"/>
      <c r="AQ39" s="17"/>
      <c r="BH39" s="21" t="s">
        <v>200</v>
      </c>
      <c r="BI39" s="22" t="str">
        <f t="shared" si="20"/>
        <v>Minors</v>
      </c>
    </row>
    <row r="40" spans="1:61" ht="15">
      <c r="A40" s="4"/>
      <c r="B40" s="121" t="s">
        <v>132</v>
      </c>
      <c r="C40" s="117">
        <v>111</v>
      </c>
      <c r="D40" s="39">
        <v>23</v>
      </c>
      <c r="E40" s="40" t="s">
        <v>71</v>
      </c>
      <c r="F40" s="41" t="s">
        <v>199</v>
      </c>
      <c r="G40" s="42" t="s">
        <v>72</v>
      </c>
      <c r="H40" s="42" t="s">
        <v>79</v>
      </c>
      <c r="I40" s="59" t="s">
        <v>129</v>
      </c>
      <c r="J40" s="43" t="s">
        <v>73</v>
      </c>
      <c r="K40" s="44" t="s">
        <v>103</v>
      </c>
      <c r="L40" s="45" t="s">
        <v>70</v>
      </c>
      <c r="M40" s="74" t="s">
        <v>89</v>
      </c>
      <c r="N40" s="55"/>
      <c r="O40" s="55"/>
      <c r="P40" s="55"/>
      <c r="Q40" s="46">
        <f t="shared" si="25"/>
        <v>9808.5211816072933</v>
      </c>
      <c r="R40" s="47">
        <f t="shared" si="1"/>
        <v>98.085211816072942</v>
      </c>
      <c r="S40" s="48">
        <v>0.01</v>
      </c>
      <c r="T40" s="49"/>
      <c r="U40" s="56">
        <v>1.3652299999999999</v>
      </c>
      <c r="V40" s="56">
        <v>1.36571</v>
      </c>
      <c r="W40" s="50">
        <f t="shared" si="2"/>
        <v>4.8000000000003595E-4</v>
      </c>
      <c r="X40" s="51">
        <f t="shared" si="23"/>
        <v>98.085211816072942</v>
      </c>
      <c r="Y40" s="57">
        <v>1.36463</v>
      </c>
      <c r="Z40" s="50">
        <f t="shared" si="4"/>
        <v>5.9999999999993392E-4</v>
      </c>
      <c r="AA40" s="52">
        <f t="shared" si="21"/>
        <v>122.60651477006849</v>
      </c>
      <c r="AB40" s="53">
        <f t="shared" si="22"/>
        <v>1.2499999999997686</v>
      </c>
      <c r="AC40" s="41" t="s">
        <v>199</v>
      </c>
      <c r="AD40" s="58">
        <f>V40</f>
        <v>1.36571</v>
      </c>
      <c r="AE40" s="54">
        <v>-8.82</v>
      </c>
      <c r="AF40" s="54">
        <v>0</v>
      </c>
      <c r="AG40" s="54">
        <f>-X40</f>
        <v>-98.085211816072942</v>
      </c>
      <c r="AH40" s="115">
        <f t="shared" si="8"/>
        <v>-106.90521181607295</v>
      </c>
      <c r="AI40" s="114">
        <f t="shared" si="14"/>
        <v>-4.8000000000003595E-4</v>
      </c>
      <c r="AJ40" s="116">
        <f t="shared" si="15"/>
        <v>-0.01</v>
      </c>
      <c r="AK40" s="98">
        <f t="shared" si="16"/>
        <v>-1.0899218122354577E-2</v>
      </c>
      <c r="AL40" s="123">
        <f t="shared" si="24"/>
        <v>9701.6159697912208</v>
      </c>
      <c r="AM40" s="17"/>
      <c r="AN40" s="17"/>
      <c r="AO40" s="17"/>
      <c r="AP40" s="17"/>
      <c r="AQ40" s="17"/>
      <c r="BH40" s="60" t="s">
        <v>201</v>
      </c>
      <c r="BI40" s="22" t="str">
        <f t="shared" ref="BI40:BI70" si="26">$BA$12</f>
        <v>Exotics</v>
      </c>
    </row>
    <row r="41" spans="1:61" ht="15">
      <c r="A41" s="4"/>
      <c r="B41" s="121" t="s">
        <v>132</v>
      </c>
      <c r="C41" s="117">
        <v>112</v>
      </c>
      <c r="D41" s="39">
        <v>23</v>
      </c>
      <c r="E41" s="40" t="s">
        <v>71</v>
      </c>
      <c r="F41" s="41" t="s">
        <v>199</v>
      </c>
      <c r="G41" s="42" t="s">
        <v>72</v>
      </c>
      <c r="H41" s="42" t="s">
        <v>79</v>
      </c>
      <c r="I41" s="59" t="s">
        <v>129</v>
      </c>
      <c r="J41" s="43" t="s">
        <v>73</v>
      </c>
      <c r="K41" s="44" t="s">
        <v>103</v>
      </c>
      <c r="L41" s="45" t="s">
        <v>70</v>
      </c>
      <c r="M41" s="128"/>
      <c r="N41" s="55"/>
      <c r="O41" s="55"/>
      <c r="P41" s="55"/>
      <c r="Q41" s="46">
        <f t="shared" si="25"/>
        <v>9701.6159697912208</v>
      </c>
      <c r="R41" s="47">
        <f t="shared" si="1"/>
        <v>97.016159697912215</v>
      </c>
      <c r="S41" s="48">
        <v>0.01</v>
      </c>
      <c r="T41" s="49"/>
      <c r="U41" s="56">
        <v>1.3654599999999999</v>
      </c>
      <c r="V41" s="58">
        <v>1.3660000000000001</v>
      </c>
      <c r="W41" s="50">
        <f t="shared" si="2"/>
        <v>5.4000000000020698E-4</v>
      </c>
      <c r="X41" s="51">
        <f t="shared" si="23"/>
        <v>97.016159697912215</v>
      </c>
      <c r="Y41" s="57">
        <v>1.36463</v>
      </c>
      <c r="Z41" s="50">
        <f t="shared" si="4"/>
        <v>8.2999999999988638E-4</v>
      </c>
      <c r="AA41" s="52">
        <f t="shared" si="21"/>
        <v>149.11743064671342</v>
      </c>
      <c r="AB41" s="53">
        <f t="shared" si="22"/>
        <v>1.5370370370362374</v>
      </c>
      <c r="AC41" s="41" t="s">
        <v>199</v>
      </c>
      <c r="AD41" s="58">
        <f>U41</f>
        <v>1.3654599999999999</v>
      </c>
      <c r="AE41" s="54">
        <v>-7.9</v>
      </c>
      <c r="AF41" s="54">
        <v>0</v>
      </c>
      <c r="AG41" s="54">
        <v>0</v>
      </c>
      <c r="AH41" s="115">
        <f t="shared" si="8"/>
        <v>-7.9</v>
      </c>
      <c r="AI41" s="114">
        <f t="shared" si="14"/>
        <v>0</v>
      </c>
      <c r="AJ41" s="116">
        <f t="shared" si="15"/>
        <v>0</v>
      </c>
      <c r="AK41" s="98">
        <f t="shared" si="16"/>
        <v>-8.1429733197015098E-4</v>
      </c>
      <c r="AL41" s="123">
        <f t="shared" si="24"/>
        <v>9693.7159697912211</v>
      </c>
      <c r="AM41" s="17"/>
      <c r="AN41" s="17"/>
      <c r="AO41" s="17"/>
      <c r="AP41" s="17"/>
      <c r="AQ41" s="17"/>
      <c r="BH41" s="60" t="s">
        <v>202</v>
      </c>
      <c r="BI41" s="22" t="str">
        <f t="shared" si="26"/>
        <v>Exotics</v>
      </c>
    </row>
    <row r="42" spans="1:61" ht="15">
      <c r="A42" s="4"/>
      <c r="B42" s="121" t="s">
        <v>132</v>
      </c>
      <c r="C42" s="117">
        <v>113</v>
      </c>
      <c r="D42" s="39">
        <v>23</v>
      </c>
      <c r="E42" s="40" t="s">
        <v>91</v>
      </c>
      <c r="F42" s="41" t="s">
        <v>203</v>
      </c>
      <c r="G42" s="42" t="s">
        <v>72</v>
      </c>
      <c r="H42" s="42" t="s">
        <v>79</v>
      </c>
      <c r="I42" s="59" t="s">
        <v>86</v>
      </c>
      <c r="J42" s="43" t="s">
        <v>93</v>
      </c>
      <c r="K42" s="44" t="s">
        <v>103</v>
      </c>
      <c r="L42" s="45" t="s">
        <v>90</v>
      </c>
      <c r="M42" s="74" t="s">
        <v>89</v>
      </c>
      <c r="N42" s="55"/>
      <c r="O42" s="55"/>
      <c r="P42" s="55"/>
      <c r="Q42" s="46">
        <f t="shared" si="25"/>
        <v>9693.7159697912211</v>
      </c>
      <c r="R42" s="47">
        <f t="shared" si="1"/>
        <v>96.937159697912207</v>
      </c>
      <c r="S42" s="48">
        <v>0.01</v>
      </c>
      <c r="T42" s="49"/>
      <c r="U42" s="56">
        <v>0.66637000000000002</v>
      </c>
      <c r="V42" s="58">
        <v>0.66601999999999995</v>
      </c>
      <c r="W42" s="50">
        <f t="shared" si="2"/>
        <v>3.5000000000007248E-4</v>
      </c>
      <c r="X42" s="51">
        <f t="shared" si="23"/>
        <v>96.937159697912207</v>
      </c>
      <c r="Y42" s="57">
        <v>0.66707000000000005</v>
      </c>
      <c r="Z42" s="50">
        <f t="shared" si="4"/>
        <v>7.0000000000003393E-4</v>
      </c>
      <c r="AA42" s="52">
        <f t="shared" si="21"/>
        <v>193.87431939579366</v>
      </c>
      <c r="AB42" s="53">
        <f t="shared" si="22"/>
        <v>1.9999999999996827</v>
      </c>
      <c r="AC42" s="41" t="s">
        <v>203</v>
      </c>
      <c r="AD42" s="58">
        <f>V42</f>
        <v>0.66601999999999995</v>
      </c>
      <c r="AE42" s="54">
        <v>-9.01</v>
      </c>
      <c r="AF42" s="54">
        <v>0</v>
      </c>
      <c r="AG42" s="54">
        <f>-X42</f>
        <v>-96.937159697912207</v>
      </c>
      <c r="AH42" s="115">
        <f t="shared" si="8"/>
        <v>-105.94715969791221</v>
      </c>
      <c r="AI42" s="114">
        <f t="shared" si="14"/>
        <v>-3.5000000000007248E-4</v>
      </c>
      <c r="AJ42" s="116">
        <f t="shared" si="15"/>
        <v>-0.01</v>
      </c>
      <c r="AK42" s="98">
        <f t="shared" si="16"/>
        <v>-1.0929468124306315E-2</v>
      </c>
      <c r="AL42" s="123">
        <f t="shared" si="24"/>
        <v>9587.7688100933083</v>
      </c>
      <c r="AM42" s="17"/>
      <c r="AN42" s="102"/>
      <c r="AO42" s="17"/>
      <c r="AP42" s="17"/>
      <c r="AQ42" s="17"/>
      <c r="BH42" s="61" t="s">
        <v>204</v>
      </c>
      <c r="BI42" s="22" t="str">
        <f t="shared" si="26"/>
        <v>Exotics</v>
      </c>
    </row>
    <row r="43" spans="1:61" ht="15">
      <c r="A43" s="4"/>
      <c r="B43" s="121" t="s">
        <v>132</v>
      </c>
      <c r="C43" s="117">
        <v>114</v>
      </c>
      <c r="D43" s="39">
        <v>23</v>
      </c>
      <c r="E43" s="40" t="s">
        <v>101</v>
      </c>
      <c r="F43" s="41" t="s">
        <v>205</v>
      </c>
      <c r="G43" s="42" t="s">
        <v>92</v>
      </c>
      <c r="H43" s="42" t="s">
        <v>79</v>
      </c>
      <c r="I43" s="59" t="s">
        <v>129</v>
      </c>
      <c r="J43" s="43" t="s">
        <v>73</v>
      </c>
      <c r="K43" s="44" t="s">
        <v>151</v>
      </c>
      <c r="L43" s="45" t="s">
        <v>70</v>
      </c>
      <c r="M43" s="74" t="s">
        <v>89</v>
      </c>
      <c r="N43" s="55"/>
      <c r="O43" s="55"/>
      <c r="P43" s="55"/>
      <c r="Q43" s="46">
        <f t="shared" si="25"/>
        <v>9587.7688100933083</v>
      </c>
      <c r="R43" s="47">
        <f t="shared" si="1"/>
        <v>95.877688100933085</v>
      </c>
      <c r="S43" s="48">
        <v>0.01</v>
      </c>
      <c r="T43" s="49"/>
      <c r="U43" s="56">
        <v>1.3695200000000001</v>
      </c>
      <c r="V43" s="58">
        <v>1.3697600000000001</v>
      </c>
      <c r="W43" s="50">
        <f t="shared" si="2"/>
        <v>2.4000000000001798E-4</v>
      </c>
      <c r="X43" s="51">
        <f t="shared" si="23"/>
        <v>95.877688100933085</v>
      </c>
      <c r="Y43" s="57">
        <v>1.3690599999999999</v>
      </c>
      <c r="Z43" s="50">
        <f t="shared" si="4"/>
        <v>4.6000000000012697E-4</v>
      </c>
      <c r="AA43" s="52">
        <f t="shared" si="21"/>
        <v>183.76556886015871</v>
      </c>
      <c r="AB43" s="53">
        <f t="shared" si="22"/>
        <v>1.9166666666670522</v>
      </c>
      <c r="AC43" s="41" t="s">
        <v>205</v>
      </c>
      <c r="AD43" s="58">
        <f>V43</f>
        <v>1.3697600000000001</v>
      </c>
      <c r="AE43" s="54">
        <v>-8.6199999999999992</v>
      </c>
      <c r="AF43" s="54">
        <v>0</v>
      </c>
      <c r="AG43" s="54">
        <f>-X43</f>
        <v>-95.877688100933085</v>
      </c>
      <c r="AH43" s="115">
        <f t="shared" si="8"/>
        <v>-104.49768810093309</v>
      </c>
      <c r="AI43" s="114">
        <f t="shared" si="14"/>
        <v>-2.4000000000001798E-4</v>
      </c>
      <c r="AJ43" s="116">
        <f t="shared" si="15"/>
        <v>-0.01</v>
      </c>
      <c r="AK43" s="98">
        <f t="shared" si="16"/>
        <v>-1.0899062145817023E-2</v>
      </c>
      <c r="AL43" s="123">
        <f t="shared" si="24"/>
        <v>9483.2711219923749</v>
      </c>
      <c r="AM43" s="17"/>
      <c r="AN43" s="17"/>
      <c r="AO43" s="17"/>
      <c r="AP43" s="17"/>
      <c r="AQ43" s="17"/>
      <c r="BH43" s="60" t="s">
        <v>206</v>
      </c>
      <c r="BI43" s="22" t="str">
        <f t="shared" si="26"/>
        <v>Exotics</v>
      </c>
    </row>
    <row r="44" spans="1:61" ht="15">
      <c r="A44" s="4"/>
      <c r="B44" s="121" t="s">
        <v>132</v>
      </c>
      <c r="C44" s="117">
        <v>115</v>
      </c>
      <c r="D44" s="39">
        <v>23</v>
      </c>
      <c r="E44" s="40" t="s">
        <v>101</v>
      </c>
      <c r="F44" s="41" t="s">
        <v>205</v>
      </c>
      <c r="G44" s="42" t="s">
        <v>92</v>
      </c>
      <c r="H44" s="42" t="s">
        <v>79</v>
      </c>
      <c r="I44" s="59" t="s">
        <v>121</v>
      </c>
      <c r="J44" s="43" t="s">
        <v>93</v>
      </c>
      <c r="K44" s="44" t="s">
        <v>103</v>
      </c>
      <c r="L44" s="45" t="s">
        <v>90</v>
      </c>
      <c r="M44" s="74" t="s">
        <v>75</v>
      </c>
      <c r="N44" s="55"/>
      <c r="O44" s="55"/>
      <c r="P44" s="55"/>
      <c r="Q44" s="46">
        <f t="shared" si="25"/>
        <v>9483.2711219923749</v>
      </c>
      <c r="R44" s="47">
        <f t="shared" si="1"/>
        <v>94.832711219923752</v>
      </c>
      <c r="S44" s="48">
        <v>0.01</v>
      </c>
      <c r="T44" s="49"/>
      <c r="U44" s="56">
        <v>1.2771999999999999</v>
      </c>
      <c r="V44" s="58">
        <v>1.2766299999999999</v>
      </c>
      <c r="W44" s="50">
        <f t="shared" si="2"/>
        <v>5.6999999999995943E-4</v>
      </c>
      <c r="X44" s="51">
        <f t="shared" si="23"/>
        <v>94.832711219923752</v>
      </c>
      <c r="Y44" s="57">
        <v>1.27834</v>
      </c>
      <c r="Z44" s="50">
        <f t="shared" si="4"/>
        <v>1.1400000000001409E-3</v>
      </c>
      <c r="AA44" s="52">
        <f t="shared" si="21"/>
        <v>189.66542243988445</v>
      </c>
      <c r="AB44" s="53">
        <f t="shared" si="22"/>
        <v>2.0000000000003895</v>
      </c>
      <c r="AC44" s="41" t="s">
        <v>205</v>
      </c>
      <c r="AD44" s="58">
        <f>Y44</f>
        <v>1.27834</v>
      </c>
      <c r="AE44" s="54">
        <v>-5.0999999999999996</v>
      </c>
      <c r="AF44" s="54">
        <v>0</v>
      </c>
      <c r="AG44" s="54">
        <f>AA44</f>
        <v>189.66542243988445</v>
      </c>
      <c r="AH44" s="115">
        <f t="shared" si="8"/>
        <v>184.56542243988446</v>
      </c>
      <c r="AI44" s="114">
        <f t="shared" si="14"/>
        <v>1.1400000000001409E-3</v>
      </c>
      <c r="AJ44" s="116">
        <f t="shared" si="15"/>
        <v>2.0000000000003897E-2</v>
      </c>
      <c r="AK44" s="98">
        <f t="shared" si="16"/>
        <v>1.9462210883316854E-2</v>
      </c>
      <c r="AL44" s="123">
        <f t="shared" si="24"/>
        <v>9667.836544432259</v>
      </c>
      <c r="AM44" s="17"/>
      <c r="AN44" s="17"/>
      <c r="AO44" s="17"/>
      <c r="AP44" s="17"/>
      <c r="AQ44" s="17"/>
      <c r="BH44" s="60" t="s">
        <v>207</v>
      </c>
      <c r="BI44" s="22" t="str">
        <f t="shared" si="26"/>
        <v>Exotics</v>
      </c>
    </row>
    <row r="45" spans="1:61" ht="15">
      <c r="A45" s="4"/>
      <c r="B45" s="121" t="s">
        <v>132</v>
      </c>
      <c r="C45" s="117">
        <v>116</v>
      </c>
      <c r="D45" s="39">
        <v>23</v>
      </c>
      <c r="E45" s="40" t="s">
        <v>125</v>
      </c>
      <c r="F45" s="41" t="s">
        <v>208</v>
      </c>
      <c r="G45" s="42" t="s">
        <v>72</v>
      </c>
      <c r="H45" s="42" t="s">
        <v>79</v>
      </c>
      <c r="I45" s="59" t="s">
        <v>121</v>
      </c>
      <c r="J45" s="43" t="s">
        <v>73</v>
      </c>
      <c r="K45" s="44" t="s">
        <v>103</v>
      </c>
      <c r="L45" s="45" t="s">
        <v>70</v>
      </c>
      <c r="M45" s="74" t="s">
        <v>89</v>
      </c>
      <c r="N45" s="55"/>
      <c r="O45" s="55"/>
      <c r="P45" s="55"/>
      <c r="Q45" s="46">
        <f t="shared" si="25"/>
        <v>9667.836544432259</v>
      </c>
      <c r="R45" s="47">
        <f t="shared" si="1"/>
        <v>96.678365444322594</v>
      </c>
      <c r="S45" s="48">
        <v>0.01</v>
      </c>
      <c r="T45" s="49"/>
      <c r="U45" s="56">
        <v>1.27983</v>
      </c>
      <c r="V45" s="58">
        <v>1.28009</v>
      </c>
      <c r="W45" s="50">
        <f t="shared" si="2"/>
        <v>2.5999999999992696E-4</v>
      </c>
      <c r="X45" s="51">
        <f t="shared" si="23"/>
        <v>96.678365444322594</v>
      </c>
      <c r="Y45" s="57">
        <v>1.2791999999999999</v>
      </c>
      <c r="Z45" s="50">
        <f t="shared" si="4"/>
        <v>6.3000000000013046E-4</v>
      </c>
      <c r="AA45" s="52">
        <f t="shared" si="21"/>
        <v>234.25911626904983</v>
      </c>
      <c r="AB45" s="53">
        <f t="shared" si="22"/>
        <v>2.4230769230781055</v>
      </c>
      <c r="AC45" s="41" t="s">
        <v>208</v>
      </c>
      <c r="AD45" s="58">
        <f>V45</f>
        <v>1.28009</v>
      </c>
      <c r="AE45" s="54">
        <v>-5.9</v>
      </c>
      <c r="AF45" s="54">
        <v>0</v>
      </c>
      <c r="AG45" s="54">
        <f>-X45</f>
        <v>-96.678365444322594</v>
      </c>
      <c r="AH45" s="115">
        <f t="shared" si="8"/>
        <v>-102.5783654443226</v>
      </c>
      <c r="AI45" s="114">
        <f t="shared" si="14"/>
        <v>-2.5999999999992696E-4</v>
      </c>
      <c r="AJ45" s="116">
        <f t="shared" si="15"/>
        <v>-0.01</v>
      </c>
      <c r="AK45" s="98">
        <f t="shared" si="16"/>
        <v>-1.0610270971471672E-2</v>
      </c>
      <c r="AL45" s="123">
        <f t="shared" si="24"/>
        <v>9565.2581789879368</v>
      </c>
      <c r="AM45" s="17"/>
      <c r="AN45" s="17"/>
      <c r="AO45" s="17"/>
      <c r="AP45" s="17"/>
      <c r="AQ45" s="17"/>
      <c r="BH45" s="61" t="s">
        <v>209</v>
      </c>
      <c r="BI45" s="22" t="str">
        <f t="shared" si="26"/>
        <v>Exotics</v>
      </c>
    </row>
    <row r="46" spans="1:61" ht="15">
      <c r="A46" s="4"/>
      <c r="B46" s="121" t="s">
        <v>83</v>
      </c>
      <c r="C46" s="126">
        <v>117</v>
      </c>
      <c r="D46" s="39">
        <v>24</v>
      </c>
      <c r="E46" s="40" t="s">
        <v>91</v>
      </c>
      <c r="F46" s="41" t="s">
        <v>210</v>
      </c>
      <c r="G46" s="42" t="s">
        <v>72</v>
      </c>
      <c r="H46" s="42" t="s">
        <v>79</v>
      </c>
      <c r="I46" s="59" t="s">
        <v>121</v>
      </c>
      <c r="J46" s="43" t="s">
        <v>73</v>
      </c>
      <c r="K46" s="44" t="s">
        <v>103</v>
      </c>
      <c r="L46" s="45" t="s">
        <v>70</v>
      </c>
      <c r="M46" s="74" t="s">
        <v>75</v>
      </c>
      <c r="N46" s="55"/>
      <c r="O46" s="55"/>
      <c r="P46" s="55"/>
      <c r="Q46" s="46">
        <f t="shared" si="25"/>
        <v>9565.2581789879368</v>
      </c>
      <c r="R46" s="47">
        <f t="shared" si="1"/>
        <v>95.652581789879378</v>
      </c>
      <c r="S46" s="48">
        <v>0.01</v>
      </c>
      <c r="T46" s="49"/>
      <c r="U46" s="56">
        <v>1.2747200000000001</v>
      </c>
      <c r="V46" s="58">
        <v>1.27504</v>
      </c>
      <c r="W46" s="50">
        <f t="shared" si="2"/>
        <v>3.1999999999987594E-4</v>
      </c>
      <c r="X46" s="51">
        <f t="shared" si="23"/>
        <v>95.652581789879378</v>
      </c>
      <c r="Y46" s="57">
        <v>1.2740800000000001</v>
      </c>
      <c r="Z46" s="50">
        <f t="shared" si="4"/>
        <v>6.3999999999997392E-4</v>
      </c>
      <c r="AA46" s="52">
        <f t="shared" si="21"/>
        <v>191.30516357982512</v>
      </c>
      <c r="AB46" s="53">
        <f t="shared" si="22"/>
        <v>2.0000000000006937</v>
      </c>
      <c r="AC46" s="41" t="s">
        <v>210</v>
      </c>
      <c r="AD46" s="58">
        <f>Y46</f>
        <v>1.2740800000000001</v>
      </c>
      <c r="AE46" s="54">
        <v>-12.92</v>
      </c>
      <c r="AF46" s="54">
        <v>0</v>
      </c>
      <c r="AG46" s="54">
        <f>AA46</f>
        <v>191.30516357982512</v>
      </c>
      <c r="AH46" s="115">
        <f t="shared" si="8"/>
        <v>178.38516357982513</v>
      </c>
      <c r="AI46" s="114">
        <f t="shared" si="14"/>
        <v>6.3999999999997392E-4</v>
      </c>
      <c r="AJ46" s="116">
        <f t="shared" si="15"/>
        <v>2.0000000000006939E-2</v>
      </c>
      <c r="AK46" s="98">
        <f t="shared" si="16"/>
        <v>1.8649278486981662E-2</v>
      </c>
      <c r="AL46" s="123">
        <f t="shared" si="24"/>
        <v>9743.6433425677624</v>
      </c>
      <c r="AM46" s="17"/>
      <c r="AN46" s="17"/>
      <c r="AO46" s="17"/>
      <c r="AP46" s="17"/>
      <c r="AQ46" s="17"/>
      <c r="BH46" s="61" t="s">
        <v>211</v>
      </c>
      <c r="BI46" s="22" t="str">
        <f t="shared" si="26"/>
        <v>Exotics</v>
      </c>
    </row>
    <row r="47" spans="1:61" ht="15">
      <c r="A47" s="4"/>
      <c r="B47" s="121" t="s">
        <v>83</v>
      </c>
      <c r="C47" s="117">
        <v>118</v>
      </c>
      <c r="D47" s="39">
        <v>24</v>
      </c>
      <c r="E47" s="40" t="s">
        <v>101</v>
      </c>
      <c r="F47" s="41" t="s">
        <v>212</v>
      </c>
      <c r="G47" s="42" t="s">
        <v>72</v>
      </c>
      <c r="H47" s="42" t="s">
        <v>79</v>
      </c>
      <c r="I47" s="59" t="s">
        <v>121</v>
      </c>
      <c r="J47" s="43" t="s">
        <v>73</v>
      </c>
      <c r="K47" s="44" t="s">
        <v>103</v>
      </c>
      <c r="L47" s="45" t="s">
        <v>70</v>
      </c>
      <c r="M47" s="74" t="s">
        <v>89</v>
      </c>
      <c r="N47" s="55"/>
      <c r="O47" s="55"/>
      <c r="P47" s="55"/>
      <c r="Q47" s="46">
        <f t="shared" si="25"/>
        <v>9743.6433425677624</v>
      </c>
      <c r="R47" s="47">
        <f t="shared" si="1"/>
        <v>97.43643342567762</v>
      </c>
      <c r="S47" s="48">
        <v>0.01</v>
      </c>
      <c r="T47" s="49"/>
      <c r="U47" s="56">
        <v>1.2788299999999999</v>
      </c>
      <c r="V47" s="58">
        <v>1.27918</v>
      </c>
      <c r="W47" s="50">
        <f t="shared" si="2"/>
        <v>3.5000000000007248E-4</v>
      </c>
      <c r="X47" s="51">
        <f t="shared" si="23"/>
        <v>97.43643342567762</v>
      </c>
      <c r="Y47" s="57">
        <v>1.2783100000000001</v>
      </c>
      <c r="Z47" s="50">
        <f t="shared" si="4"/>
        <v>5.1999999999985391E-4</v>
      </c>
      <c r="AA47" s="52">
        <f t="shared" si="21"/>
        <v>144.76270108950752</v>
      </c>
      <c r="AB47" s="53">
        <f t="shared" si="22"/>
        <v>1.4857142857135606</v>
      </c>
      <c r="AC47" s="41" t="s">
        <v>212</v>
      </c>
      <c r="AD47" s="58">
        <f>V47</f>
        <v>1.27918</v>
      </c>
      <c r="AE47" s="54">
        <v>-12.1</v>
      </c>
      <c r="AF47" s="54">
        <v>0</v>
      </c>
      <c r="AG47" s="54">
        <f>-X47</f>
        <v>-97.43643342567762</v>
      </c>
      <c r="AH47" s="115">
        <f t="shared" si="8"/>
        <v>-109.53643342567761</v>
      </c>
      <c r="AI47" s="114">
        <f t="shared" si="14"/>
        <v>-3.5000000000007248E-4</v>
      </c>
      <c r="AJ47" s="116">
        <f t="shared" si="15"/>
        <v>-0.01</v>
      </c>
      <c r="AK47" s="98">
        <f t="shared" si="16"/>
        <v>-1.1241835273992209E-2</v>
      </c>
      <c r="AL47" s="123">
        <f t="shared" si="24"/>
        <v>9634.106909142085</v>
      </c>
      <c r="AM47" s="17"/>
      <c r="AN47" s="17"/>
      <c r="AO47" s="17"/>
      <c r="AP47" s="17"/>
      <c r="AQ47" s="17"/>
      <c r="BH47" s="60" t="s">
        <v>213</v>
      </c>
      <c r="BI47" s="22" t="str">
        <f t="shared" si="26"/>
        <v>Exotics</v>
      </c>
    </row>
    <row r="48" spans="1:61" ht="15">
      <c r="A48" s="4"/>
      <c r="B48" s="121" t="s">
        <v>83</v>
      </c>
      <c r="C48" s="117">
        <v>119</v>
      </c>
      <c r="D48" s="39">
        <v>24</v>
      </c>
      <c r="E48" s="40" t="s">
        <v>125</v>
      </c>
      <c r="F48" s="41" t="s">
        <v>214</v>
      </c>
      <c r="G48" s="42" t="s">
        <v>72</v>
      </c>
      <c r="H48" s="42" t="s">
        <v>79</v>
      </c>
      <c r="I48" s="59" t="s">
        <v>121</v>
      </c>
      <c r="J48" s="43" t="s">
        <v>93</v>
      </c>
      <c r="K48" s="44" t="s">
        <v>151</v>
      </c>
      <c r="L48" s="45" t="s">
        <v>90</v>
      </c>
      <c r="M48" s="128"/>
      <c r="N48" s="55"/>
      <c r="O48" s="55"/>
      <c r="P48" s="55"/>
      <c r="Q48" s="46">
        <f t="shared" si="25"/>
        <v>9634.106909142085</v>
      </c>
      <c r="R48" s="47">
        <f t="shared" si="1"/>
        <v>96.341069091420849</v>
      </c>
      <c r="S48" s="48">
        <v>0.01</v>
      </c>
      <c r="T48" s="49"/>
      <c r="U48" s="56">
        <v>1.2728299999999999</v>
      </c>
      <c r="V48" s="58">
        <v>1.2721800000000001</v>
      </c>
      <c r="W48" s="50">
        <f t="shared" si="2"/>
        <v>6.4999999999981739E-4</v>
      </c>
      <c r="X48" s="51">
        <f t="shared" si="23"/>
        <v>96.341069091420849</v>
      </c>
      <c r="Y48" s="57">
        <v>1.27383</v>
      </c>
      <c r="Z48" s="50">
        <f t="shared" si="4"/>
        <v>1.0000000000001119E-3</v>
      </c>
      <c r="AA48" s="52">
        <f t="shared" si="21"/>
        <v>148.21702937147492</v>
      </c>
      <c r="AB48" s="53">
        <f t="shared" si="22"/>
        <v>1.538461538462143</v>
      </c>
      <c r="AC48" s="41" t="s">
        <v>214</v>
      </c>
      <c r="AD48" s="58">
        <v>1.27284</v>
      </c>
      <c r="AE48" s="54">
        <v>-6.48</v>
      </c>
      <c r="AF48" s="54">
        <v>0</v>
      </c>
      <c r="AG48" s="54">
        <v>5</v>
      </c>
      <c r="AH48" s="115">
        <f t="shared" si="8"/>
        <v>-1.4800000000000004</v>
      </c>
      <c r="AI48" s="114">
        <f t="shared" si="14"/>
        <v>1.0000000000065512E-5</v>
      </c>
      <c r="AJ48" s="116">
        <f t="shared" si="15"/>
        <v>5.1898946598312652E-4</v>
      </c>
      <c r="AK48" s="98">
        <f t="shared" si="16"/>
        <v>-1.5362088193100548E-4</v>
      </c>
      <c r="AL48" s="123">
        <f t="shared" si="24"/>
        <v>9632.6269091420854</v>
      </c>
      <c r="AM48" s="17"/>
      <c r="AN48" s="17"/>
      <c r="AO48" s="17"/>
      <c r="AP48" s="17"/>
      <c r="AQ48" s="17"/>
      <c r="BH48" s="60" t="s">
        <v>215</v>
      </c>
      <c r="BI48" s="22" t="str">
        <f t="shared" si="26"/>
        <v>Exotics</v>
      </c>
    </row>
    <row r="49" spans="1:61" ht="15">
      <c r="A49" s="4"/>
      <c r="B49" s="121" t="s">
        <v>83</v>
      </c>
      <c r="C49" s="126">
        <v>120</v>
      </c>
      <c r="D49" s="39">
        <v>24</v>
      </c>
      <c r="E49" s="40" t="s">
        <v>125</v>
      </c>
      <c r="F49" s="41" t="s">
        <v>214</v>
      </c>
      <c r="G49" s="42" t="s">
        <v>92</v>
      </c>
      <c r="H49" s="42" t="s">
        <v>79</v>
      </c>
      <c r="I49" s="59" t="s">
        <v>86</v>
      </c>
      <c r="J49" s="43" t="s">
        <v>93</v>
      </c>
      <c r="K49" s="44" t="s">
        <v>151</v>
      </c>
      <c r="L49" s="45" t="s">
        <v>90</v>
      </c>
      <c r="M49" s="74" t="s">
        <v>195</v>
      </c>
      <c r="N49" s="55"/>
      <c r="O49" s="55"/>
      <c r="P49" s="55"/>
      <c r="Q49" s="46">
        <f t="shared" si="25"/>
        <v>9632.6269091420854</v>
      </c>
      <c r="R49" s="47">
        <f t="shared" si="1"/>
        <v>96.326269091420855</v>
      </c>
      <c r="S49" s="48">
        <v>0.01</v>
      </c>
      <c r="T49" s="49"/>
      <c r="U49" s="56">
        <v>0.66127000000000002</v>
      </c>
      <c r="V49" s="58">
        <v>0.66095999999999999</v>
      </c>
      <c r="W49" s="50">
        <f t="shared" si="2"/>
        <v>3.1000000000003247E-4</v>
      </c>
      <c r="X49" s="51">
        <f t="shared" si="23"/>
        <v>96.326269091420855</v>
      </c>
      <c r="Y49" s="57">
        <v>0.66173999999999999</v>
      </c>
      <c r="Z49" s="50">
        <f t="shared" si="4"/>
        <v>4.6999999999997044E-4</v>
      </c>
      <c r="AA49" s="52">
        <f t="shared" si="21"/>
        <v>146.04305313858131</v>
      </c>
      <c r="AB49" s="53">
        <f t="shared" si="22"/>
        <v>1.5161290322578103</v>
      </c>
      <c r="AC49" s="41" t="s">
        <v>214</v>
      </c>
      <c r="AD49" s="58">
        <f>Y49</f>
        <v>0.66173999999999999</v>
      </c>
      <c r="AE49" s="54">
        <v>-12.2</v>
      </c>
      <c r="AF49" s="54">
        <v>0</v>
      </c>
      <c r="AG49" s="54">
        <f>AA49</f>
        <v>146.04305313858131</v>
      </c>
      <c r="AH49" s="115">
        <f t="shared" si="8"/>
        <v>133.84305313858133</v>
      </c>
      <c r="AI49" s="114">
        <f t="shared" si="14"/>
        <v>4.6999999999997044E-4</v>
      </c>
      <c r="AJ49" s="116">
        <f t="shared" si="15"/>
        <v>1.5161290322578102E-2</v>
      </c>
      <c r="AK49" s="98">
        <f t="shared" si="16"/>
        <v>1.3894761460298461E-2</v>
      </c>
      <c r="AL49" s="123">
        <f t="shared" si="24"/>
        <v>9766.4699622806675</v>
      </c>
      <c r="AM49" s="17"/>
      <c r="AN49" s="17"/>
      <c r="AO49" s="17"/>
      <c r="AP49" s="17"/>
      <c r="AQ49" s="17"/>
      <c r="BH49" s="60" t="s">
        <v>216</v>
      </c>
      <c r="BI49" s="22" t="str">
        <f t="shared" si="26"/>
        <v>Exotics</v>
      </c>
    </row>
    <row r="50" spans="1:61" ht="15">
      <c r="A50" s="4"/>
      <c r="B50" s="121" t="s">
        <v>83</v>
      </c>
      <c r="C50" s="126">
        <v>121</v>
      </c>
      <c r="D50" s="39">
        <v>25</v>
      </c>
      <c r="E50" s="40" t="s">
        <v>71</v>
      </c>
      <c r="F50" s="41" t="s">
        <v>217</v>
      </c>
      <c r="G50" s="42" t="s">
        <v>72</v>
      </c>
      <c r="H50" s="42" t="s">
        <v>79</v>
      </c>
      <c r="I50" s="59" t="s">
        <v>86</v>
      </c>
      <c r="J50" s="43" t="s">
        <v>93</v>
      </c>
      <c r="K50" s="44" t="s">
        <v>103</v>
      </c>
      <c r="L50" s="45" t="s">
        <v>90</v>
      </c>
      <c r="M50" s="74" t="s">
        <v>89</v>
      </c>
      <c r="N50" s="55"/>
      <c r="O50" s="55"/>
      <c r="P50" s="55"/>
      <c r="Q50" s="46">
        <f t="shared" si="25"/>
        <v>9766.4699622806675</v>
      </c>
      <c r="R50" s="47">
        <f t="shared" si="1"/>
        <v>97.66469962280668</v>
      </c>
      <c r="S50" s="48">
        <v>0.01</v>
      </c>
      <c r="T50" s="49"/>
      <c r="U50" s="56">
        <v>0.65944999999999998</v>
      </c>
      <c r="V50" s="58">
        <v>0.65920000000000001</v>
      </c>
      <c r="W50" s="50">
        <f t="shared" si="2"/>
        <v>2.4999999999997247E-4</v>
      </c>
      <c r="X50" s="51">
        <f t="shared" si="23"/>
        <v>97.66469962280668</v>
      </c>
      <c r="Y50" s="57">
        <v>0.65998000000000001</v>
      </c>
      <c r="Z50" s="50">
        <f t="shared" si="4"/>
        <v>5.3000000000003045E-4</v>
      </c>
      <c r="AA50" s="52">
        <f t="shared" si="21"/>
        <v>207.04916320038487</v>
      </c>
      <c r="AB50" s="53">
        <f t="shared" si="22"/>
        <v>2.1200000000003554</v>
      </c>
      <c r="AC50" s="41" t="s">
        <v>217</v>
      </c>
      <c r="AD50" s="58">
        <f>V50</f>
        <v>0.65920000000000001</v>
      </c>
      <c r="AE50" s="54">
        <v>-16.8</v>
      </c>
      <c r="AF50" s="54">
        <v>0</v>
      </c>
      <c r="AG50" s="54">
        <f>-X50</f>
        <v>-97.66469962280668</v>
      </c>
      <c r="AH50" s="115">
        <f t="shared" si="8"/>
        <v>-114.46469962280668</v>
      </c>
      <c r="AI50" s="114">
        <f t="shared" si="14"/>
        <v>-2.4999999999997247E-4</v>
      </c>
      <c r="AJ50" s="116">
        <f t="shared" si="15"/>
        <v>-0.01</v>
      </c>
      <c r="AK50" s="98">
        <f t="shared" si="16"/>
        <v>-1.172017116367364E-2</v>
      </c>
      <c r="AL50" s="123">
        <f t="shared" si="24"/>
        <v>9652.0052626578599</v>
      </c>
      <c r="AM50" s="17"/>
      <c r="AN50" s="17"/>
      <c r="AO50" s="17"/>
      <c r="AP50" s="17"/>
      <c r="AQ50" s="17"/>
      <c r="BH50" s="60" t="s">
        <v>218</v>
      </c>
      <c r="BI50" s="22" t="str">
        <f t="shared" si="26"/>
        <v>Exotics</v>
      </c>
    </row>
    <row r="51" spans="1:61" ht="15">
      <c r="A51" s="4"/>
      <c r="B51" s="121" t="s">
        <v>83</v>
      </c>
      <c r="C51" s="126">
        <v>122</v>
      </c>
      <c r="D51" s="39">
        <v>25</v>
      </c>
      <c r="E51" s="40" t="s">
        <v>71</v>
      </c>
      <c r="F51" s="41" t="s">
        <v>217</v>
      </c>
      <c r="G51" s="42" t="s">
        <v>92</v>
      </c>
      <c r="H51" s="42" t="s">
        <v>79</v>
      </c>
      <c r="I51" s="59" t="s">
        <v>121</v>
      </c>
      <c r="J51" s="43" t="s">
        <v>93</v>
      </c>
      <c r="K51" s="44" t="s">
        <v>103</v>
      </c>
      <c r="L51" s="45" t="s">
        <v>90</v>
      </c>
      <c r="M51" s="74" t="s">
        <v>75</v>
      </c>
      <c r="N51" s="55"/>
      <c r="O51" s="55"/>
      <c r="P51" s="55"/>
      <c r="Q51" s="46">
        <f t="shared" si="25"/>
        <v>9652.0052626578599</v>
      </c>
      <c r="R51" s="47">
        <f t="shared" si="1"/>
        <v>96.520052626578604</v>
      </c>
      <c r="S51" s="48">
        <v>0.01</v>
      </c>
      <c r="T51" s="49"/>
      <c r="U51" s="56">
        <v>1.2664299999999999</v>
      </c>
      <c r="V51" s="58">
        <v>1.26606</v>
      </c>
      <c r="W51" s="50">
        <f t="shared" si="2"/>
        <v>3.6999999999998145E-4</v>
      </c>
      <c r="X51" s="51">
        <f t="shared" si="23"/>
        <v>96.520052626578604</v>
      </c>
      <c r="Y51" s="57">
        <v>1.2670300000000001</v>
      </c>
      <c r="Z51" s="50">
        <f t="shared" si="4"/>
        <v>6.0000000000015596E-4</v>
      </c>
      <c r="AA51" s="52">
        <f t="shared" si="21"/>
        <v>156.51900425936518</v>
      </c>
      <c r="AB51" s="53">
        <f t="shared" si="22"/>
        <v>1.6216216216221244</v>
      </c>
      <c r="AC51" s="41" t="s">
        <v>217</v>
      </c>
      <c r="AD51" s="58">
        <f>Y51</f>
        <v>1.2670300000000001</v>
      </c>
      <c r="AE51" s="54">
        <v>-11.86</v>
      </c>
      <c r="AF51" s="54">
        <v>0</v>
      </c>
      <c r="AG51" s="54">
        <f>AA51</f>
        <v>156.51900425936518</v>
      </c>
      <c r="AH51" s="115">
        <f t="shared" si="8"/>
        <v>144.65900425936519</v>
      </c>
      <c r="AI51" s="114">
        <f t="shared" si="14"/>
        <v>6.0000000000015596E-4</v>
      </c>
      <c r="AJ51" s="116">
        <f t="shared" si="15"/>
        <v>1.6216216216221244E-2</v>
      </c>
      <c r="AK51" s="98">
        <f t="shared" si="16"/>
        <v>1.4987456007616249E-2</v>
      </c>
      <c r="AL51" s="123">
        <f t="shared" si="24"/>
        <v>9796.6642669172252</v>
      </c>
      <c r="AM51" s="17"/>
      <c r="AN51" s="17"/>
      <c r="AO51" s="17"/>
      <c r="AP51" s="17"/>
      <c r="AQ51" s="17"/>
      <c r="BH51" s="61" t="s">
        <v>219</v>
      </c>
      <c r="BI51" s="22" t="str">
        <f t="shared" si="26"/>
        <v>Exotics</v>
      </c>
    </row>
    <row r="52" spans="1:61" ht="15">
      <c r="A52" s="4"/>
      <c r="B52" s="121" t="s">
        <v>83</v>
      </c>
      <c r="C52" s="126">
        <v>123</v>
      </c>
      <c r="D52" s="39">
        <v>25</v>
      </c>
      <c r="E52" s="40" t="s">
        <v>91</v>
      </c>
      <c r="F52" s="41" t="s">
        <v>220</v>
      </c>
      <c r="G52" s="42" t="s">
        <v>92</v>
      </c>
      <c r="H52" s="42" t="s">
        <v>119</v>
      </c>
      <c r="I52" s="59" t="s">
        <v>221</v>
      </c>
      <c r="J52" s="43" t="s">
        <v>73</v>
      </c>
      <c r="K52" s="44" t="s">
        <v>103</v>
      </c>
      <c r="L52" s="45" t="s">
        <v>70</v>
      </c>
      <c r="M52" s="74" t="s">
        <v>75</v>
      </c>
      <c r="N52" s="55"/>
      <c r="O52" s="55"/>
      <c r="P52" s="55"/>
      <c r="Q52" s="46">
        <f t="shared" si="25"/>
        <v>9796.6642669172252</v>
      </c>
      <c r="R52" s="47">
        <f t="shared" si="1"/>
        <v>97.966642669172259</v>
      </c>
      <c r="S52" s="48">
        <v>0.01</v>
      </c>
      <c r="T52" s="49"/>
      <c r="U52" s="56">
        <v>19942.5</v>
      </c>
      <c r="V52" s="58">
        <v>19961.3</v>
      </c>
      <c r="W52" s="50">
        <f t="shared" si="2"/>
        <v>18.799999999999272</v>
      </c>
      <c r="X52" s="51">
        <f t="shared" si="23"/>
        <v>97.966642669172259</v>
      </c>
      <c r="Y52" s="56">
        <v>19921.900000000001</v>
      </c>
      <c r="Z52" s="50">
        <f t="shared" si="4"/>
        <v>20.599999999998545</v>
      </c>
      <c r="AA52" s="52">
        <f t="shared" si="21"/>
        <v>107.34642760557895</v>
      </c>
      <c r="AB52" s="53">
        <f t="shared" si="22"/>
        <v>1.0957446808510289</v>
      </c>
      <c r="AC52" s="41" t="s">
        <v>220</v>
      </c>
      <c r="AD52" s="58">
        <f>Y52</f>
        <v>19921.900000000001</v>
      </c>
      <c r="AE52" s="54">
        <v>0</v>
      </c>
      <c r="AF52" s="54">
        <v>0</v>
      </c>
      <c r="AG52" s="54">
        <f>AA52</f>
        <v>107.34642760557895</v>
      </c>
      <c r="AH52" s="115">
        <f t="shared" si="8"/>
        <v>107.34642760557895</v>
      </c>
      <c r="AI52" s="114">
        <f t="shared" si="14"/>
        <v>20.599999999998545</v>
      </c>
      <c r="AJ52" s="116">
        <f t="shared" si="15"/>
        <v>1.0957446808510289E-2</v>
      </c>
      <c r="AK52" s="98">
        <f t="shared" si="16"/>
        <v>1.0957446808510289E-2</v>
      </c>
      <c r="AL52" s="123">
        <f t="shared" si="24"/>
        <v>9904.0106945228035</v>
      </c>
      <c r="AM52" s="17"/>
      <c r="AN52" s="17"/>
      <c r="AO52" s="17"/>
      <c r="AP52" s="17"/>
      <c r="AQ52" s="17"/>
      <c r="BH52" s="60" t="s">
        <v>222</v>
      </c>
      <c r="BI52" s="22" t="str">
        <f t="shared" si="26"/>
        <v>Exotics</v>
      </c>
    </row>
    <row r="53" spans="1:61" ht="15">
      <c r="A53" s="4"/>
      <c r="B53" s="121" t="s">
        <v>83</v>
      </c>
      <c r="C53" s="126">
        <v>124</v>
      </c>
      <c r="D53" s="39">
        <v>25</v>
      </c>
      <c r="E53" s="40" t="s">
        <v>105</v>
      </c>
      <c r="F53" s="41" t="s">
        <v>223</v>
      </c>
      <c r="G53" s="42" t="s">
        <v>72</v>
      </c>
      <c r="H53" s="42" t="s">
        <v>79</v>
      </c>
      <c r="I53" s="59" t="s">
        <v>121</v>
      </c>
      <c r="J53" s="43" t="s">
        <v>73</v>
      </c>
      <c r="K53" s="44" t="s">
        <v>103</v>
      </c>
      <c r="L53" s="45" t="s">
        <v>70</v>
      </c>
      <c r="M53" s="74" t="s">
        <v>89</v>
      </c>
      <c r="N53" s="55"/>
      <c r="O53" s="55"/>
      <c r="P53" s="55"/>
      <c r="Q53" s="46">
        <f t="shared" si="25"/>
        <v>9904.0106945228035</v>
      </c>
      <c r="R53" s="47">
        <f t="shared" si="1"/>
        <v>99.040106945228032</v>
      </c>
      <c r="S53" s="48">
        <v>0.01</v>
      </c>
      <c r="T53" s="49"/>
      <c r="U53" s="56">
        <v>1.27257</v>
      </c>
      <c r="V53" s="58">
        <v>1.2731399999999999</v>
      </c>
      <c r="W53" s="50">
        <f t="shared" si="2"/>
        <v>5.6999999999995943E-4</v>
      </c>
      <c r="X53" s="51">
        <f t="shared" si="23"/>
        <v>99.040106945228032</v>
      </c>
      <c r="Y53" s="57">
        <v>1.2707299999999999</v>
      </c>
      <c r="Z53" s="50">
        <f t="shared" si="4"/>
        <v>1.8400000000000638E-3</v>
      </c>
      <c r="AA53" s="52">
        <f t="shared" si="21"/>
        <v>319.70841540217344</v>
      </c>
      <c r="AB53" s="53">
        <f t="shared" si="22"/>
        <v>3.2280701754389383</v>
      </c>
      <c r="AC53" s="41" t="s">
        <v>223</v>
      </c>
      <c r="AD53" s="58">
        <f>V53</f>
        <v>1.2731399999999999</v>
      </c>
      <c r="AE53" s="54">
        <v>-7.2</v>
      </c>
      <c r="AF53" s="54">
        <v>0</v>
      </c>
      <c r="AG53" s="54">
        <f>-X53</f>
        <v>-99.040106945228032</v>
      </c>
      <c r="AH53" s="115">
        <f t="shared" si="8"/>
        <v>-106.24010694522804</v>
      </c>
      <c r="AI53" s="114">
        <f t="shared" si="14"/>
        <v>-5.6999999999995943E-4</v>
      </c>
      <c r="AJ53" s="116">
        <f t="shared" si="15"/>
        <v>-0.01</v>
      </c>
      <c r="AK53" s="98">
        <f t="shared" si="16"/>
        <v>-1.0726978213379939E-2</v>
      </c>
      <c r="AL53" s="123">
        <f t="shared" si="24"/>
        <v>9797.7705875775755</v>
      </c>
      <c r="AM53" s="17"/>
      <c r="AN53" s="17"/>
      <c r="AO53" s="17"/>
      <c r="AP53" s="17"/>
      <c r="AQ53" s="17"/>
      <c r="BH53" s="60" t="s">
        <v>224</v>
      </c>
      <c r="BI53" s="22" t="str">
        <f t="shared" si="26"/>
        <v>Exotics</v>
      </c>
    </row>
    <row r="54" spans="1:61" ht="15">
      <c r="A54" s="64"/>
      <c r="B54" s="121" t="s">
        <v>83</v>
      </c>
      <c r="C54" s="117">
        <v>125</v>
      </c>
      <c r="D54" s="39">
        <v>25</v>
      </c>
      <c r="E54" s="40" t="s">
        <v>105</v>
      </c>
      <c r="F54" s="41" t="s">
        <v>223</v>
      </c>
      <c r="G54" s="42" t="s">
        <v>72</v>
      </c>
      <c r="H54" s="42" t="s">
        <v>79</v>
      </c>
      <c r="I54" s="59" t="s">
        <v>121</v>
      </c>
      <c r="J54" s="43" t="s">
        <v>73</v>
      </c>
      <c r="K54" s="44" t="s">
        <v>142</v>
      </c>
      <c r="L54" s="45" t="s">
        <v>70</v>
      </c>
      <c r="M54" s="74" t="s">
        <v>89</v>
      </c>
      <c r="N54" s="55"/>
      <c r="O54" s="55"/>
      <c r="P54" s="55"/>
      <c r="Q54" s="46">
        <f t="shared" si="25"/>
        <v>9797.7705875775755</v>
      </c>
      <c r="R54" s="47">
        <f t="shared" si="1"/>
        <v>97.977705875775754</v>
      </c>
      <c r="S54" s="48">
        <v>0.01</v>
      </c>
      <c r="T54" s="49"/>
      <c r="U54" s="56">
        <v>1.2723599999999999</v>
      </c>
      <c r="V54" s="58">
        <v>1.2733399999999999</v>
      </c>
      <c r="W54" s="50">
        <f t="shared" si="2"/>
        <v>9.7999999999998089E-4</v>
      </c>
      <c r="X54" s="51">
        <f t="shared" si="23"/>
        <v>97.977705875775754</v>
      </c>
      <c r="Y54" s="57">
        <v>1.2703100000000001</v>
      </c>
      <c r="Z54" s="50">
        <f t="shared" si="4"/>
        <v>2.0499999999998852E-3</v>
      </c>
      <c r="AA54" s="52">
        <f t="shared" si="21"/>
        <v>204.95336433197241</v>
      </c>
      <c r="AB54" s="53">
        <f t="shared" si="22"/>
        <v>2.0918367346938012</v>
      </c>
      <c r="AC54" s="41" t="s">
        <v>223</v>
      </c>
      <c r="AD54" s="58">
        <v>1.27288</v>
      </c>
      <c r="AE54" s="54">
        <v>-4.3</v>
      </c>
      <c r="AF54" s="54">
        <v>0</v>
      </c>
      <c r="AG54" s="54">
        <v>-51</v>
      </c>
      <c r="AH54" s="115">
        <f t="shared" si="8"/>
        <v>-55.3</v>
      </c>
      <c r="AI54" s="114">
        <f t="shared" si="14"/>
        <v>-5.2000000000007596E-4</v>
      </c>
      <c r="AJ54" s="116">
        <f t="shared" si="15"/>
        <v>-5.2052657841021527E-3</v>
      </c>
      <c r="AK54" s="98">
        <f t="shared" si="16"/>
        <v>-5.6441411345264517E-3</v>
      </c>
      <c r="AL54" s="123">
        <f t="shared" si="24"/>
        <v>9742.4705875775762</v>
      </c>
      <c r="AM54" s="17"/>
      <c r="AN54" s="17"/>
      <c r="AO54" s="17"/>
      <c r="AP54" s="17"/>
      <c r="AQ54" s="17"/>
      <c r="BH54" s="60" t="s">
        <v>225</v>
      </c>
      <c r="BI54" s="22" t="str">
        <f t="shared" si="26"/>
        <v>Exotics</v>
      </c>
    </row>
    <row r="55" spans="1:61" ht="15">
      <c r="A55" s="64"/>
      <c r="B55" s="121" t="s">
        <v>83</v>
      </c>
      <c r="C55" s="117">
        <v>126</v>
      </c>
      <c r="D55" s="39">
        <v>25</v>
      </c>
      <c r="E55" s="40" t="s">
        <v>105</v>
      </c>
      <c r="F55" s="41" t="s">
        <v>223</v>
      </c>
      <c r="G55" s="42" t="s">
        <v>92</v>
      </c>
      <c r="H55" s="42" t="s">
        <v>79</v>
      </c>
      <c r="I55" s="59" t="s">
        <v>129</v>
      </c>
      <c r="J55" s="43" t="s">
        <v>93</v>
      </c>
      <c r="K55" s="44" t="s">
        <v>103</v>
      </c>
      <c r="L55" s="45" t="s">
        <v>90</v>
      </c>
      <c r="M55" s="74" t="s">
        <v>89</v>
      </c>
      <c r="N55" s="55"/>
      <c r="O55" s="55"/>
      <c r="P55" s="55"/>
      <c r="Q55" s="46">
        <f t="shared" si="25"/>
        <v>9742.4705875775762</v>
      </c>
      <c r="R55" s="47">
        <f t="shared" si="1"/>
        <v>97.424705875775771</v>
      </c>
      <c r="S55" s="48">
        <v>0.01</v>
      </c>
      <c r="T55" s="49"/>
      <c r="U55" s="56">
        <v>1.3710500000000001</v>
      </c>
      <c r="V55" s="58">
        <v>1.3708499999999999</v>
      </c>
      <c r="W55" s="50">
        <f t="shared" si="2"/>
        <v>2.0000000000020002E-4</v>
      </c>
      <c r="X55" s="51">
        <f t="shared" si="23"/>
        <v>97.424705875775771</v>
      </c>
      <c r="Y55" s="57">
        <v>1.37151</v>
      </c>
      <c r="Z55" s="50">
        <f t="shared" si="4"/>
        <v>4.5999999999990493E-4</v>
      </c>
      <c r="AA55" s="52">
        <f t="shared" si="21"/>
        <v>224.07682351401385</v>
      </c>
      <c r="AB55" s="53">
        <f t="shared" si="22"/>
        <v>2.2999999999972243</v>
      </c>
      <c r="AC55" s="41" t="s">
        <v>223</v>
      </c>
      <c r="AD55" s="58">
        <f>V55</f>
        <v>1.3708499999999999</v>
      </c>
      <c r="AE55" s="54">
        <v>-30.26</v>
      </c>
      <c r="AF55" s="54">
        <v>0</v>
      </c>
      <c r="AG55" s="54">
        <f>-X55</f>
        <v>-97.424705875775771</v>
      </c>
      <c r="AH55" s="115">
        <f t="shared" si="8"/>
        <v>-127.68470587577578</v>
      </c>
      <c r="AI55" s="114">
        <f t="shared" si="14"/>
        <v>-2.0000000000020002E-4</v>
      </c>
      <c r="AJ55" s="116">
        <f t="shared" si="15"/>
        <v>-0.01</v>
      </c>
      <c r="AK55" s="98">
        <f t="shared" si="16"/>
        <v>-1.3105988335092734E-2</v>
      </c>
      <c r="AL55" s="123">
        <f t="shared" si="24"/>
        <v>9614.7858817018005</v>
      </c>
      <c r="AM55" s="17"/>
      <c r="AN55" s="17"/>
      <c r="AO55" s="17"/>
      <c r="AP55" s="17"/>
      <c r="AQ55" s="17"/>
      <c r="BH55" s="60" t="s">
        <v>226</v>
      </c>
      <c r="BI55" s="22" t="str">
        <f t="shared" si="26"/>
        <v>Exotics</v>
      </c>
    </row>
    <row r="56" spans="1:61" ht="15">
      <c r="A56" s="64"/>
      <c r="B56" s="121" t="s">
        <v>83</v>
      </c>
      <c r="C56" s="117">
        <v>127</v>
      </c>
      <c r="D56" s="39">
        <v>25</v>
      </c>
      <c r="E56" s="40" t="s">
        <v>105</v>
      </c>
      <c r="F56" s="41" t="s">
        <v>223</v>
      </c>
      <c r="G56" s="42" t="s">
        <v>92</v>
      </c>
      <c r="H56" s="42" t="s">
        <v>119</v>
      </c>
      <c r="I56" s="59" t="s">
        <v>221</v>
      </c>
      <c r="J56" s="43" t="s">
        <v>73</v>
      </c>
      <c r="K56" s="44" t="s">
        <v>103</v>
      </c>
      <c r="L56" s="45" t="s">
        <v>70</v>
      </c>
      <c r="M56" s="74" t="s">
        <v>89</v>
      </c>
      <c r="N56" s="55"/>
      <c r="O56" s="55"/>
      <c r="P56" s="55"/>
      <c r="Q56" s="46">
        <f t="shared" si="25"/>
        <v>9614.7858817018005</v>
      </c>
      <c r="R56" s="47">
        <f t="shared" si="1"/>
        <v>96.147858817018005</v>
      </c>
      <c r="S56" s="48">
        <v>0.01</v>
      </c>
      <c r="T56" s="49"/>
      <c r="U56" s="56">
        <v>19981.599999999999</v>
      </c>
      <c r="V56" s="58">
        <v>19985.099999999999</v>
      </c>
      <c r="W56" s="50">
        <f t="shared" si="2"/>
        <v>3.5</v>
      </c>
      <c r="X56" s="51">
        <f t="shared" si="23"/>
        <v>96.147858817018005</v>
      </c>
      <c r="Y56" s="57">
        <v>19969.900000000001</v>
      </c>
      <c r="Z56" s="50">
        <f t="shared" si="4"/>
        <v>11.69999999999709</v>
      </c>
      <c r="AA56" s="52">
        <f t="shared" si="21"/>
        <v>321.40855661680882</v>
      </c>
      <c r="AB56" s="53">
        <f t="shared" si="22"/>
        <v>3.3428571428563112</v>
      </c>
      <c r="AC56" s="41" t="s">
        <v>223</v>
      </c>
      <c r="AD56" s="58">
        <f>V56</f>
        <v>19985.099999999999</v>
      </c>
      <c r="AE56" s="54">
        <v>0</v>
      </c>
      <c r="AF56" s="54">
        <v>0</v>
      </c>
      <c r="AG56" s="54">
        <f>-X56</f>
        <v>-96.147858817018005</v>
      </c>
      <c r="AH56" s="115">
        <f t="shared" si="8"/>
        <v>-96.147858817018005</v>
      </c>
      <c r="AI56" s="114">
        <f t="shared" si="14"/>
        <v>-3.5</v>
      </c>
      <c r="AJ56" s="116">
        <f t="shared" si="15"/>
        <v>-0.01</v>
      </c>
      <c r="AK56" s="98">
        <f t="shared" si="16"/>
        <v>-0.01</v>
      </c>
      <c r="AL56" s="123">
        <f t="shared" si="24"/>
        <v>9518.6380228847829</v>
      </c>
      <c r="AM56" s="17"/>
      <c r="AN56" s="17"/>
      <c r="AO56" s="17"/>
      <c r="AP56" s="17"/>
      <c r="AQ56" s="17"/>
      <c r="BH56" s="60" t="s">
        <v>227</v>
      </c>
      <c r="BI56" s="22" t="str">
        <f t="shared" si="26"/>
        <v>Exotics</v>
      </c>
    </row>
    <row r="57" spans="1:61" ht="15">
      <c r="A57" s="64"/>
      <c r="B57" s="121" t="s">
        <v>83</v>
      </c>
      <c r="C57" s="126">
        <v>128</v>
      </c>
      <c r="D57" s="39">
        <v>25</v>
      </c>
      <c r="E57" s="40" t="s">
        <v>101</v>
      </c>
      <c r="F57" s="41" t="s">
        <v>228</v>
      </c>
      <c r="G57" s="42" t="s">
        <v>72</v>
      </c>
      <c r="H57" s="42" t="s">
        <v>79</v>
      </c>
      <c r="I57" s="59" t="s">
        <v>82</v>
      </c>
      <c r="J57" s="43" t="s">
        <v>93</v>
      </c>
      <c r="K57" s="44" t="s">
        <v>151</v>
      </c>
      <c r="L57" s="45" t="s">
        <v>90</v>
      </c>
      <c r="M57" s="74" t="s">
        <v>89</v>
      </c>
      <c r="N57" s="55"/>
      <c r="O57" s="55"/>
      <c r="P57" s="55"/>
      <c r="Q57" s="46">
        <f t="shared" si="25"/>
        <v>9518.6380228847829</v>
      </c>
      <c r="R57" s="47">
        <f t="shared" si="1"/>
        <v>95.186380228847824</v>
      </c>
      <c r="S57" s="48">
        <v>0.01</v>
      </c>
      <c r="T57" s="49"/>
      <c r="U57" s="56">
        <v>1.07324</v>
      </c>
      <c r="V57" s="58">
        <v>1.0729500000000001</v>
      </c>
      <c r="W57" s="50">
        <f t="shared" si="2"/>
        <v>2.8999999999990145E-4</v>
      </c>
      <c r="X57" s="51">
        <f t="shared" si="23"/>
        <v>95.186380228847824</v>
      </c>
      <c r="Y57" s="57">
        <v>1.0737099999999999</v>
      </c>
      <c r="Z57" s="50">
        <f t="shared" si="4"/>
        <v>4.6999999999997044E-4</v>
      </c>
      <c r="AA57" s="52">
        <f t="shared" si="21"/>
        <v>154.26758175024437</v>
      </c>
      <c r="AB57" s="53">
        <f t="shared" si="22"/>
        <v>1.6206896551728627</v>
      </c>
      <c r="AC57" s="41" t="s">
        <v>228</v>
      </c>
      <c r="AD57" s="41">
        <f>V57</f>
        <v>1.0729500000000001</v>
      </c>
      <c r="AE57" s="54">
        <v>-0.04</v>
      </c>
      <c r="AF57" s="54">
        <v>0</v>
      </c>
      <c r="AG57" s="54">
        <f>-X57</f>
        <v>-95.186380228847824</v>
      </c>
      <c r="AH57" s="115">
        <f t="shared" si="8"/>
        <v>-95.22638022884783</v>
      </c>
      <c r="AI57" s="114">
        <f t="shared" si="14"/>
        <v>-2.8999999999990145E-4</v>
      </c>
      <c r="AJ57" s="116">
        <f t="shared" si="15"/>
        <v>-0.01</v>
      </c>
      <c r="AK57" s="98">
        <f t="shared" si="16"/>
        <v>-1.0004202281870982E-2</v>
      </c>
      <c r="AL57" s="123">
        <f t="shared" si="24"/>
        <v>9423.4116426559358</v>
      </c>
      <c r="AM57" s="17"/>
      <c r="AN57" s="17"/>
      <c r="AO57" s="17"/>
      <c r="AP57" s="17"/>
      <c r="AQ57" s="17"/>
      <c r="BH57" s="61" t="s">
        <v>229</v>
      </c>
      <c r="BI57" s="22" t="str">
        <f t="shared" si="26"/>
        <v>Exotics</v>
      </c>
    </row>
    <row r="58" spans="1:61" ht="15">
      <c r="A58" s="64"/>
      <c r="B58" s="121" t="s">
        <v>132</v>
      </c>
      <c r="C58" s="117">
        <v>129</v>
      </c>
      <c r="D58" s="39">
        <v>26</v>
      </c>
      <c r="E58" s="40" t="s">
        <v>71</v>
      </c>
      <c r="F58" s="41" t="s">
        <v>230</v>
      </c>
      <c r="G58" s="42" t="s">
        <v>72</v>
      </c>
      <c r="H58" s="42" t="s">
        <v>79</v>
      </c>
      <c r="I58" s="59" t="s">
        <v>121</v>
      </c>
      <c r="J58" s="43" t="s">
        <v>73</v>
      </c>
      <c r="K58" s="44" t="s">
        <v>103</v>
      </c>
      <c r="L58" s="45" t="s">
        <v>70</v>
      </c>
      <c r="M58" s="74" t="s">
        <v>89</v>
      </c>
      <c r="N58" s="55"/>
      <c r="O58" s="55"/>
      <c r="P58" s="55"/>
      <c r="Q58" s="46">
        <f t="shared" si="25"/>
        <v>9423.4116426559358</v>
      </c>
      <c r="R58" s="47">
        <f t="shared" si="1"/>
        <v>94.234116426559353</v>
      </c>
      <c r="S58" s="48">
        <v>0.01</v>
      </c>
      <c r="T58" s="49"/>
      <c r="U58" s="56">
        <v>1.2649699999999999</v>
      </c>
      <c r="V58" s="58">
        <v>1.2652300000000001</v>
      </c>
      <c r="W58" s="50">
        <f t="shared" si="2"/>
        <v>2.60000000000149E-4</v>
      </c>
      <c r="X58" s="51">
        <f t="shared" si="23"/>
        <v>94.234116426559353</v>
      </c>
      <c r="Y58" s="57">
        <v>1.2644500000000001</v>
      </c>
      <c r="Z58" s="50">
        <f t="shared" si="4"/>
        <v>5.1999999999985391E-4</v>
      </c>
      <c r="AA58" s="52">
        <f t="shared" si="21"/>
        <v>188.46823285295775</v>
      </c>
      <c r="AB58" s="53">
        <f t="shared" si="22"/>
        <v>1.999999999998292</v>
      </c>
      <c r="AC58" s="41" t="s">
        <v>230</v>
      </c>
      <c r="AD58" s="58">
        <f>V58</f>
        <v>1.2652300000000001</v>
      </c>
      <c r="AE58" s="54">
        <v>-6.62</v>
      </c>
      <c r="AF58" s="54">
        <v>0</v>
      </c>
      <c r="AG58" s="54">
        <f>-X58</f>
        <v>-94.234116426559353</v>
      </c>
      <c r="AH58" s="115">
        <f t="shared" si="8"/>
        <v>-100.85411642655936</v>
      </c>
      <c r="AI58" s="114">
        <f t="shared" si="14"/>
        <v>-2.60000000000149E-4</v>
      </c>
      <c r="AJ58" s="116">
        <f t="shared" si="15"/>
        <v>-0.01</v>
      </c>
      <c r="AK58" s="98">
        <f t="shared" si="16"/>
        <v>-1.0702505658357743E-2</v>
      </c>
      <c r="AL58" s="123">
        <f t="shared" si="24"/>
        <v>9322.5575262293769</v>
      </c>
      <c r="AM58" s="17"/>
      <c r="AN58" s="17"/>
      <c r="AO58" s="17"/>
      <c r="AP58" s="17"/>
      <c r="AQ58" s="17"/>
      <c r="BH58" s="60" t="s">
        <v>231</v>
      </c>
      <c r="BI58" s="22" t="str">
        <f t="shared" si="26"/>
        <v>Exotics</v>
      </c>
    </row>
    <row r="59" spans="1:61" ht="15">
      <c r="A59" s="64"/>
      <c r="B59" s="121" t="s">
        <v>83</v>
      </c>
      <c r="C59" s="126">
        <v>130</v>
      </c>
      <c r="D59" s="39">
        <v>26</v>
      </c>
      <c r="E59" s="40" t="s">
        <v>71</v>
      </c>
      <c r="F59" s="41" t="s">
        <v>230</v>
      </c>
      <c r="G59" s="42" t="s">
        <v>72</v>
      </c>
      <c r="H59" s="42" t="s">
        <v>119</v>
      </c>
      <c r="I59" s="59" t="s">
        <v>221</v>
      </c>
      <c r="J59" s="43" t="s">
        <v>73</v>
      </c>
      <c r="K59" s="44" t="s">
        <v>103</v>
      </c>
      <c r="L59" s="45" t="s">
        <v>70</v>
      </c>
      <c r="M59" s="74" t="s">
        <v>75</v>
      </c>
      <c r="N59" s="55"/>
      <c r="O59" s="55"/>
      <c r="P59" s="55"/>
      <c r="Q59" s="46">
        <f t="shared" si="25"/>
        <v>9322.5575262293769</v>
      </c>
      <c r="R59" s="47">
        <f t="shared" si="1"/>
        <v>93.225575262293773</v>
      </c>
      <c r="S59" s="48">
        <v>0.01</v>
      </c>
      <c r="T59" s="49"/>
      <c r="U59" s="56">
        <v>19767.599999999999</v>
      </c>
      <c r="V59" s="58">
        <v>19775.8</v>
      </c>
      <c r="W59" s="50">
        <f t="shared" si="2"/>
        <v>8.2000000000007276</v>
      </c>
      <c r="X59" s="51">
        <f t="shared" si="23"/>
        <v>93.225575262293773</v>
      </c>
      <c r="Y59" s="56">
        <v>19747.8</v>
      </c>
      <c r="Z59" s="50">
        <f t="shared" si="4"/>
        <v>19.799999999999272</v>
      </c>
      <c r="AA59" s="52">
        <f t="shared" si="21"/>
        <v>225.10565734063232</v>
      </c>
      <c r="AB59" s="53">
        <f t="shared" si="22"/>
        <v>2.4146341463411605</v>
      </c>
      <c r="AC59" s="41" t="s">
        <v>230</v>
      </c>
      <c r="AD59" s="58">
        <f>Y59</f>
        <v>19747.8</v>
      </c>
      <c r="AE59" s="54">
        <v>0</v>
      </c>
      <c r="AF59" s="54">
        <v>0</v>
      </c>
      <c r="AG59" s="54">
        <f>AA59</f>
        <v>225.10565734063232</v>
      </c>
      <c r="AH59" s="115">
        <f t="shared" si="8"/>
        <v>225.10565734063232</v>
      </c>
      <c r="AI59" s="114">
        <f t="shared" si="14"/>
        <v>19.799999999999272</v>
      </c>
      <c r="AJ59" s="116">
        <f t="shared" si="15"/>
        <v>2.4146341463411602E-2</v>
      </c>
      <c r="AK59" s="98">
        <f t="shared" si="16"/>
        <v>2.4146341463411602E-2</v>
      </c>
      <c r="AL59" s="123">
        <f t="shared" si="24"/>
        <v>9547.66318357001</v>
      </c>
      <c r="AM59" s="17"/>
      <c r="AN59" s="17"/>
      <c r="AO59" s="17"/>
      <c r="AP59" s="17"/>
      <c r="AQ59" s="17"/>
      <c r="BH59" s="60" t="s">
        <v>232</v>
      </c>
      <c r="BI59" s="22" t="str">
        <f t="shared" si="26"/>
        <v>Exotics</v>
      </c>
    </row>
    <row r="60" spans="1:61" ht="15">
      <c r="A60" s="64"/>
      <c r="B60" s="121" t="s">
        <v>83</v>
      </c>
      <c r="C60" s="117">
        <v>131</v>
      </c>
      <c r="D60" s="39">
        <v>26</v>
      </c>
      <c r="E60" s="40" t="s">
        <v>71</v>
      </c>
      <c r="F60" s="41" t="s">
        <v>230</v>
      </c>
      <c r="G60" s="42" t="s">
        <v>92</v>
      </c>
      <c r="H60" s="42" t="s">
        <v>79</v>
      </c>
      <c r="I60" s="59" t="s">
        <v>121</v>
      </c>
      <c r="J60" s="43" t="s">
        <v>73</v>
      </c>
      <c r="K60" s="44" t="s">
        <v>103</v>
      </c>
      <c r="L60" s="45" t="s">
        <v>70</v>
      </c>
      <c r="M60" s="128"/>
      <c r="N60" s="55"/>
      <c r="O60" s="55"/>
      <c r="P60" s="55"/>
      <c r="Q60" s="46">
        <f t="shared" si="25"/>
        <v>9547.66318357001</v>
      </c>
      <c r="R60" s="47">
        <f t="shared" si="1"/>
        <v>95.476631835700104</v>
      </c>
      <c r="S60" s="48">
        <v>0.01</v>
      </c>
      <c r="T60" s="49"/>
      <c r="U60" s="56">
        <v>1.26908</v>
      </c>
      <c r="V60" s="58">
        <v>1.2699</v>
      </c>
      <c r="W60" s="50">
        <f t="shared" si="2"/>
        <v>8.2000000000004292E-4</v>
      </c>
      <c r="X60" s="51">
        <f t="shared" si="23"/>
        <v>95.476631835700104</v>
      </c>
      <c r="Y60" s="57">
        <v>1.2675000000000001</v>
      </c>
      <c r="Z60" s="50">
        <f t="shared" si="4"/>
        <v>1.5799999999999148E-3</v>
      </c>
      <c r="AA60" s="52">
        <f t="shared" si="21"/>
        <v>183.96716865901234</v>
      </c>
      <c r="AB60" s="53">
        <f t="shared" si="22"/>
        <v>1.9268292682924781</v>
      </c>
      <c r="AC60" s="41" t="s">
        <v>230</v>
      </c>
      <c r="AD60" s="58">
        <v>1.2687600000000001</v>
      </c>
      <c r="AE60" s="54">
        <v>-2.48</v>
      </c>
      <c r="AF60" s="54">
        <v>0</v>
      </c>
      <c r="AG60" s="54">
        <v>13</v>
      </c>
      <c r="AH60" s="115">
        <f t="shared" si="8"/>
        <v>10.52</v>
      </c>
      <c r="AI60" s="114">
        <f t="shared" si="14"/>
        <v>3.1999999999987594E-4</v>
      </c>
      <c r="AJ60" s="116">
        <f t="shared" si="15"/>
        <v>1.3615897157296987E-3</v>
      </c>
      <c r="AK60" s="98">
        <f t="shared" si="16"/>
        <v>1.1018402930366485E-3</v>
      </c>
      <c r="AL60" s="123">
        <f t="shared" si="24"/>
        <v>9558.1831835700104</v>
      </c>
      <c r="AM60" s="17"/>
      <c r="AN60" s="17"/>
      <c r="AO60" s="17"/>
      <c r="AP60" s="17"/>
      <c r="AQ60" s="17"/>
      <c r="BH60" s="61" t="s">
        <v>233</v>
      </c>
      <c r="BI60" s="22" t="str">
        <f t="shared" si="26"/>
        <v>Exotics</v>
      </c>
    </row>
    <row r="61" spans="1:61" ht="15">
      <c r="A61" s="64"/>
      <c r="B61" s="121" t="s">
        <v>132</v>
      </c>
      <c r="C61" s="117">
        <v>132</v>
      </c>
      <c r="D61" s="39">
        <v>26</v>
      </c>
      <c r="E61" s="40" t="s">
        <v>91</v>
      </c>
      <c r="F61" s="41" t="s">
        <v>234</v>
      </c>
      <c r="G61" s="42" t="s">
        <v>72</v>
      </c>
      <c r="H61" s="42" t="s">
        <v>79</v>
      </c>
      <c r="I61" s="59" t="s">
        <v>82</v>
      </c>
      <c r="J61" s="43" t="s">
        <v>93</v>
      </c>
      <c r="K61" s="44" t="s">
        <v>168</v>
      </c>
      <c r="L61" s="45" t="s">
        <v>90</v>
      </c>
      <c r="M61" s="74" t="s">
        <v>75</v>
      </c>
      <c r="N61" s="55"/>
      <c r="O61" s="55"/>
      <c r="P61" s="55"/>
      <c r="Q61" s="46">
        <f t="shared" si="25"/>
        <v>9558.1831835700104</v>
      </c>
      <c r="R61" s="47">
        <f t="shared" si="1"/>
        <v>95.5818318357001</v>
      </c>
      <c r="S61" s="48">
        <v>0.01</v>
      </c>
      <c r="T61" s="49"/>
      <c r="U61" s="56">
        <v>1.07267</v>
      </c>
      <c r="V61" s="58">
        <v>1.0721799999999999</v>
      </c>
      <c r="W61" s="50">
        <f t="shared" si="2"/>
        <v>4.9000000000010147E-4</v>
      </c>
      <c r="X61" s="51">
        <f t="shared" si="23"/>
        <v>95.5818318357001</v>
      </c>
      <c r="Y61" s="57">
        <v>1.0734600000000001</v>
      </c>
      <c r="Z61" s="50">
        <f t="shared" si="4"/>
        <v>7.9000000000006843E-4</v>
      </c>
      <c r="AA61" s="52">
        <f t="shared" si="21"/>
        <v>154.10132071468161</v>
      </c>
      <c r="AB61" s="53">
        <f t="shared" si="22"/>
        <v>1.6122448979589894</v>
      </c>
      <c r="AC61" s="41" t="s">
        <v>234</v>
      </c>
      <c r="AD61" s="58">
        <v>1.0730500000000001</v>
      </c>
      <c r="AE61" s="54">
        <v>-3.28</v>
      </c>
      <c r="AF61" s="54">
        <v>0</v>
      </c>
      <c r="AG61" s="54">
        <f>AA61</f>
        <v>154.10132071468161</v>
      </c>
      <c r="AH61" s="115">
        <f t="shared" si="8"/>
        <v>150.8213207146816</v>
      </c>
      <c r="AI61" s="114">
        <f t="shared" si="14"/>
        <v>3.8000000000004697E-4</v>
      </c>
      <c r="AJ61" s="116">
        <f t="shared" si="15"/>
        <v>1.6122448979589896E-2</v>
      </c>
      <c r="AK61" s="98">
        <f t="shared" si="16"/>
        <v>1.5779287529656804E-2</v>
      </c>
      <c r="AL61" s="123">
        <f t="shared" si="24"/>
        <v>9709.0045042846923</v>
      </c>
      <c r="AM61" s="17"/>
      <c r="AN61" s="17"/>
      <c r="AO61" s="17"/>
      <c r="AP61" s="17"/>
      <c r="AQ61" s="17"/>
      <c r="BH61" s="60" t="s">
        <v>235</v>
      </c>
      <c r="BI61" s="22" t="str">
        <f t="shared" si="26"/>
        <v>Exotics</v>
      </c>
    </row>
    <row r="62" spans="1:61" ht="15">
      <c r="A62" s="64"/>
      <c r="B62" s="121" t="s">
        <v>83</v>
      </c>
      <c r="C62" s="126">
        <v>133</v>
      </c>
      <c r="D62" s="39">
        <v>26</v>
      </c>
      <c r="E62" s="40" t="s">
        <v>105</v>
      </c>
      <c r="F62" s="41" t="s">
        <v>236</v>
      </c>
      <c r="G62" s="42" t="s">
        <v>72</v>
      </c>
      <c r="H62" s="42" t="s">
        <v>119</v>
      </c>
      <c r="I62" s="59" t="s">
        <v>221</v>
      </c>
      <c r="J62" s="43" t="s">
        <v>73</v>
      </c>
      <c r="K62" s="44" t="s">
        <v>168</v>
      </c>
      <c r="L62" s="45" t="s">
        <v>70</v>
      </c>
      <c r="M62" s="74" t="s">
        <v>89</v>
      </c>
      <c r="N62" s="55"/>
      <c r="O62" s="55"/>
      <c r="P62" s="55"/>
      <c r="Q62" s="46">
        <f t="shared" si="25"/>
        <v>9709.0045042846923</v>
      </c>
      <c r="R62" s="47">
        <f t="shared" si="1"/>
        <v>97.090045042846924</v>
      </c>
      <c r="S62" s="48">
        <v>0.01</v>
      </c>
      <c r="T62" s="49"/>
      <c r="U62" s="56">
        <v>19803.400000000001</v>
      </c>
      <c r="V62" s="58">
        <v>19811.400000000001</v>
      </c>
      <c r="W62" s="50">
        <f t="shared" si="2"/>
        <v>8</v>
      </c>
      <c r="X62" s="51">
        <f t="shared" si="23"/>
        <v>97.090045042846924</v>
      </c>
      <c r="Y62" s="57">
        <v>19780.400000000001</v>
      </c>
      <c r="Z62" s="50">
        <f t="shared" si="4"/>
        <v>23</v>
      </c>
      <c r="AA62" s="52">
        <f t="shared" si="21"/>
        <v>279.13387949818491</v>
      </c>
      <c r="AB62" s="53">
        <f t="shared" si="22"/>
        <v>2.875</v>
      </c>
      <c r="AC62" s="41" t="s">
        <v>236</v>
      </c>
      <c r="AD62" s="58">
        <f>V62</f>
        <v>19811.400000000001</v>
      </c>
      <c r="AE62" s="54">
        <v>0</v>
      </c>
      <c r="AF62" s="54">
        <v>0</v>
      </c>
      <c r="AG62" s="54">
        <f>-X62</f>
        <v>-97.090045042846924</v>
      </c>
      <c r="AH62" s="115">
        <f t="shared" si="8"/>
        <v>-97.090045042846924</v>
      </c>
      <c r="AI62" s="114">
        <f t="shared" si="14"/>
        <v>-8</v>
      </c>
      <c r="AJ62" s="116">
        <f t="shared" si="15"/>
        <v>-0.01</v>
      </c>
      <c r="AK62" s="98">
        <f t="shared" si="16"/>
        <v>-0.01</v>
      </c>
      <c r="AL62" s="123">
        <f t="shared" si="24"/>
        <v>9611.9144592418452</v>
      </c>
      <c r="AM62" s="17"/>
      <c r="AN62" s="17"/>
      <c r="AO62" s="17"/>
      <c r="AP62" s="17"/>
      <c r="AQ62" s="17"/>
      <c r="BH62" s="60" t="s">
        <v>237</v>
      </c>
      <c r="BI62" s="22" t="str">
        <f t="shared" si="26"/>
        <v>Exotics</v>
      </c>
    </row>
    <row r="63" spans="1:61" ht="15">
      <c r="A63" s="64"/>
      <c r="B63" s="121" t="s">
        <v>132</v>
      </c>
      <c r="C63" s="117">
        <v>134</v>
      </c>
      <c r="D63" s="39">
        <v>26</v>
      </c>
      <c r="E63" s="40" t="s">
        <v>105</v>
      </c>
      <c r="F63" s="41" t="s">
        <v>236</v>
      </c>
      <c r="G63" s="42" t="s">
        <v>92</v>
      </c>
      <c r="H63" s="42" t="s">
        <v>79</v>
      </c>
      <c r="I63" s="59" t="s">
        <v>129</v>
      </c>
      <c r="J63" s="43" t="s">
        <v>73</v>
      </c>
      <c r="K63" s="44" t="s">
        <v>168</v>
      </c>
      <c r="L63" s="45" t="s">
        <v>70</v>
      </c>
      <c r="M63" s="74" t="s">
        <v>75</v>
      </c>
      <c r="N63" s="55"/>
      <c r="O63" s="55"/>
      <c r="P63" s="55"/>
      <c r="Q63" s="46">
        <f t="shared" si="25"/>
        <v>9611.9144592418452</v>
      </c>
      <c r="R63" s="47">
        <f t="shared" si="1"/>
        <v>96.119144592418451</v>
      </c>
      <c r="S63" s="48">
        <v>0.01</v>
      </c>
      <c r="T63" s="49"/>
      <c r="U63" s="56">
        <v>1.3689800000000001</v>
      </c>
      <c r="V63" s="58">
        <v>1.3694900000000001</v>
      </c>
      <c r="W63" s="50">
        <f t="shared" si="2"/>
        <v>5.1000000000001044E-4</v>
      </c>
      <c r="X63" s="51">
        <f t="shared" si="23"/>
        <v>96.119144592418451</v>
      </c>
      <c r="Y63" s="57">
        <v>1.3684000000000001</v>
      </c>
      <c r="Z63" s="50">
        <f t="shared" si="4"/>
        <v>5.8000000000002494E-4</v>
      </c>
      <c r="AA63" s="52">
        <f t="shared" si="21"/>
        <v>109.31196836000777</v>
      </c>
      <c r="AB63" s="53">
        <f t="shared" si="22"/>
        <v>1.13725490196081</v>
      </c>
      <c r="AC63" s="41" t="s">
        <v>236</v>
      </c>
      <c r="AD63" s="58">
        <f>Y63</f>
        <v>1.3684000000000001</v>
      </c>
      <c r="AE63" s="54">
        <v>-4.12</v>
      </c>
      <c r="AF63" s="54">
        <v>0</v>
      </c>
      <c r="AG63" s="54">
        <f>AA63</f>
        <v>109.31196836000777</v>
      </c>
      <c r="AH63" s="115">
        <f t="shared" si="8"/>
        <v>105.19196836000776</v>
      </c>
      <c r="AI63" s="114">
        <f t="shared" si="14"/>
        <v>5.8000000000002494E-4</v>
      </c>
      <c r="AJ63" s="116">
        <f t="shared" si="15"/>
        <v>1.1372549019608099E-2</v>
      </c>
      <c r="AK63" s="98">
        <f t="shared" si="16"/>
        <v>1.0943914326959684E-2</v>
      </c>
      <c r="AL63" s="123">
        <f t="shared" si="24"/>
        <v>9717.1064276018533</v>
      </c>
      <c r="AM63" s="17"/>
      <c r="AN63" s="17"/>
      <c r="AO63" s="17"/>
      <c r="AP63" s="17"/>
      <c r="AQ63" s="17"/>
      <c r="BH63" s="60" t="s">
        <v>238</v>
      </c>
      <c r="BI63" s="22" t="str">
        <f t="shared" si="26"/>
        <v>Exotics</v>
      </c>
    </row>
    <row r="64" spans="1:61" ht="15">
      <c r="A64" s="64"/>
      <c r="B64" s="121" t="s">
        <v>132</v>
      </c>
      <c r="C64" s="117">
        <v>135</v>
      </c>
      <c r="D64" s="39">
        <v>26</v>
      </c>
      <c r="E64" s="40" t="s">
        <v>101</v>
      </c>
      <c r="F64" s="41" t="s">
        <v>239</v>
      </c>
      <c r="G64" s="42" t="s">
        <v>72</v>
      </c>
      <c r="H64" s="42" t="s">
        <v>79</v>
      </c>
      <c r="I64" s="59" t="s">
        <v>82</v>
      </c>
      <c r="J64" s="43" t="s">
        <v>73</v>
      </c>
      <c r="K64" s="44" t="s">
        <v>172</v>
      </c>
      <c r="L64" s="45" t="s">
        <v>70</v>
      </c>
      <c r="M64" s="74" t="s">
        <v>75</v>
      </c>
      <c r="N64" s="55"/>
      <c r="O64" s="55"/>
      <c r="P64" s="55"/>
      <c r="Q64" s="46">
        <f t="shared" si="25"/>
        <v>9717.1064276018533</v>
      </c>
      <c r="R64" s="47">
        <f t="shared" si="1"/>
        <v>97.171064276018541</v>
      </c>
      <c r="S64" s="48">
        <v>0.01</v>
      </c>
      <c r="T64" s="49"/>
      <c r="U64" s="56">
        <v>1.06951</v>
      </c>
      <c r="V64" s="58">
        <v>1.0699099999999999</v>
      </c>
      <c r="W64" s="50">
        <f t="shared" si="2"/>
        <v>3.9999999999995595E-4</v>
      </c>
      <c r="X64" s="51">
        <f t="shared" si="23"/>
        <v>97.171064276018541</v>
      </c>
      <c r="Y64" s="57">
        <v>1.06871</v>
      </c>
      <c r="Z64" s="50">
        <f t="shared" si="4"/>
        <v>7.9999999999991189E-4</v>
      </c>
      <c r="AA64" s="52">
        <f t="shared" si="21"/>
        <v>194.34212855203708</v>
      </c>
      <c r="AB64" s="53">
        <f t="shared" si="22"/>
        <v>2</v>
      </c>
      <c r="AC64" s="41" t="s">
        <v>239</v>
      </c>
      <c r="AD64" s="58">
        <f>Y64</f>
        <v>1.06871</v>
      </c>
      <c r="AE64" s="54">
        <v>-3.7</v>
      </c>
      <c r="AF64" s="54">
        <v>0</v>
      </c>
      <c r="AG64" s="54">
        <f>AA64</f>
        <v>194.34212855203708</v>
      </c>
      <c r="AH64" s="115">
        <f t="shared" si="8"/>
        <v>190.64212855203709</v>
      </c>
      <c r="AI64" s="114">
        <f t="shared" si="14"/>
        <v>7.9999999999991189E-4</v>
      </c>
      <c r="AJ64" s="116">
        <f t="shared" si="15"/>
        <v>0.02</v>
      </c>
      <c r="AK64" s="98">
        <f t="shared" si="16"/>
        <v>1.9619228210829308E-2</v>
      </c>
      <c r="AL64" s="123">
        <f t="shared" si="24"/>
        <v>9907.7485561538906</v>
      </c>
      <c r="AM64" s="17"/>
      <c r="AN64" s="17"/>
      <c r="AO64" s="17"/>
      <c r="AP64" s="17"/>
      <c r="AQ64" s="17"/>
      <c r="BH64" s="60" t="s">
        <v>240</v>
      </c>
      <c r="BI64" s="22" t="str">
        <f t="shared" si="26"/>
        <v>Exotics</v>
      </c>
    </row>
    <row r="65" spans="1:61" ht="15">
      <c r="A65" s="64"/>
      <c r="B65" s="121" t="s">
        <v>132</v>
      </c>
      <c r="C65" s="117">
        <v>136</v>
      </c>
      <c r="D65" s="39">
        <v>27</v>
      </c>
      <c r="E65" s="40" t="s">
        <v>71</v>
      </c>
      <c r="F65" s="41" t="s">
        <v>241</v>
      </c>
      <c r="G65" s="42" t="s">
        <v>72</v>
      </c>
      <c r="H65" s="42" t="s">
        <v>79</v>
      </c>
      <c r="I65" s="59" t="s">
        <v>82</v>
      </c>
      <c r="J65" s="43" t="s">
        <v>73</v>
      </c>
      <c r="K65" s="44" t="s">
        <v>143</v>
      </c>
      <c r="L65" s="45" t="s">
        <v>70</v>
      </c>
      <c r="M65" s="128"/>
      <c r="N65" s="55"/>
      <c r="O65" s="55"/>
      <c r="P65" s="55"/>
      <c r="Q65" s="46">
        <f t="shared" si="25"/>
        <v>9907.7485561538906</v>
      </c>
      <c r="R65" s="47">
        <f t="shared" si="1"/>
        <v>99.077485561538907</v>
      </c>
      <c r="S65" s="48">
        <v>0.01</v>
      </c>
      <c r="T65" s="49"/>
      <c r="U65" s="56">
        <v>1.0764899999999999</v>
      </c>
      <c r="V65" s="58">
        <v>1.07734</v>
      </c>
      <c r="W65" s="50">
        <f t="shared" si="2"/>
        <v>8.5000000000001741E-4</v>
      </c>
      <c r="X65" s="51">
        <f t="shared" si="23"/>
        <v>99.077485561538907</v>
      </c>
      <c r="Y65" s="57">
        <v>1.07477</v>
      </c>
      <c r="Z65" s="50">
        <f t="shared" si="4"/>
        <v>1.7199999999999438E-3</v>
      </c>
      <c r="AA65" s="52">
        <f t="shared" si="21"/>
        <v>200.4862060774563</v>
      </c>
      <c r="AB65" s="53">
        <f t="shared" si="22"/>
        <v>2.0235294117645983</v>
      </c>
      <c r="AC65" s="41" t="s">
        <v>241</v>
      </c>
      <c r="AD65" s="58">
        <v>1.0762</v>
      </c>
      <c r="AE65" s="54">
        <v>-1.78</v>
      </c>
      <c r="AF65" s="54">
        <v>0</v>
      </c>
      <c r="AG65" s="54">
        <v>26</v>
      </c>
      <c r="AH65" s="115">
        <f t="shared" si="8"/>
        <v>24.22</v>
      </c>
      <c r="AI65" s="114">
        <f t="shared" si="14"/>
        <v>2.8999999999990145E-4</v>
      </c>
      <c r="AJ65" s="116">
        <f t="shared" si="15"/>
        <v>2.6242087041915196E-3</v>
      </c>
      <c r="AK65" s="98">
        <f t="shared" si="16"/>
        <v>2.4445513390584078E-3</v>
      </c>
      <c r="AL65" s="123">
        <f t="shared" si="24"/>
        <v>9931.9685561538899</v>
      </c>
      <c r="AM65" s="17"/>
      <c r="AN65" s="17"/>
      <c r="AO65" s="17"/>
      <c r="AP65" s="17"/>
      <c r="AQ65" s="17"/>
      <c r="BH65" s="60" t="s">
        <v>242</v>
      </c>
      <c r="BI65" s="22" t="str">
        <f t="shared" si="26"/>
        <v>Exotics</v>
      </c>
    </row>
    <row r="66" spans="1:61" ht="15">
      <c r="A66" s="64"/>
      <c r="B66" s="121" t="s">
        <v>83</v>
      </c>
      <c r="C66" s="126">
        <v>137</v>
      </c>
      <c r="D66" s="39">
        <v>27</v>
      </c>
      <c r="E66" s="40" t="s">
        <v>91</v>
      </c>
      <c r="F66" s="41" t="s">
        <v>243</v>
      </c>
      <c r="G66" s="42" t="s">
        <v>92</v>
      </c>
      <c r="H66" s="42" t="s">
        <v>119</v>
      </c>
      <c r="I66" s="59" t="s">
        <v>221</v>
      </c>
      <c r="J66" s="43" t="s">
        <v>73</v>
      </c>
      <c r="K66" s="44" t="s">
        <v>103</v>
      </c>
      <c r="L66" s="45" t="s">
        <v>70</v>
      </c>
      <c r="M66" s="74" t="s">
        <v>75</v>
      </c>
      <c r="N66" s="55"/>
      <c r="O66" s="55"/>
      <c r="P66" s="55"/>
      <c r="Q66" s="46">
        <f t="shared" si="25"/>
        <v>9931.9685561538899</v>
      </c>
      <c r="R66" s="47">
        <f t="shared" si="1"/>
        <v>99.319685561538904</v>
      </c>
      <c r="S66" s="48">
        <v>0.01</v>
      </c>
      <c r="T66" s="49"/>
      <c r="U66" s="56">
        <v>19855.7</v>
      </c>
      <c r="V66" s="58">
        <v>19885.2</v>
      </c>
      <c r="W66" s="50">
        <f t="shared" si="2"/>
        <v>29.5</v>
      </c>
      <c r="X66" s="51">
        <f t="shared" si="23"/>
        <v>99.319685561538904</v>
      </c>
      <c r="Y66" s="57">
        <v>19803.8</v>
      </c>
      <c r="Z66" s="50">
        <f t="shared" si="4"/>
        <v>51.900000000001455</v>
      </c>
      <c r="AA66" s="52">
        <f t="shared" si="21"/>
        <v>174.73531120827164</v>
      </c>
      <c r="AB66" s="53">
        <f t="shared" si="22"/>
        <v>1.7593220338983544</v>
      </c>
      <c r="AC66" s="41" t="s">
        <v>243</v>
      </c>
      <c r="AD66" s="58">
        <f>Y66</f>
        <v>19803.8</v>
      </c>
      <c r="AE66" s="54">
        <v>0</v>
      </c>
      <c r="AF66" s="54">
        <v>0</v>
      </c>
      <c r="AG66" s="54">
        <f>AA66</f>
        <v>174.73531120827164</v>
      </c>
      <c r="AH66" s="115">
        <f t="shared" si="8"/>
        <v>174.73531120827164</v>
      </c>
      <c r="AI66" s="114">
        <f t="shared" si="14"/>
        <v>51.900000000001455</v>
      </c>
      <c r="AJ66" s="116">
        <f t="shared" si="15"/>
        <v>1.7593220338983542E-2</v>
      </c>
      <c r="AK66" s="98">
        <f t="shared" si="16"/>
        <v>1.7593220338983542E-2</v>
      </c>
      <c r="AL66" s="123">
        <f t="shared" si="24"/>
        <v>10106.703867362161</v>
      </c>
      <c r="AM66" s="17"/>
      <c r="AN66" s="17"/>
      <c r="AO66" s="17"/>
      <c r="AP66" s="17"/>
      <c r="AQ66" s="17"/>
      <c r="BH66" s="60" t="s">
        <v>244</v>
      </c>
      <c r="BI66" s="22" t="str">
        <f t="shared" si="26"/>
        <v>Exotics</v>
      </c>
    </row>
    <row r="67" spans="1:61" ht="15">
      <c r="A67" s="64"/>
      <c r="B67" s="121" t="s">
        <v>132</v>
      </c>
      <c r="C67" s="117">
        <v>138</v>
      </c>
      <c r="D67" s="39">
        <v>27</v>
      </c>
      <c r="E67" s="40" t="s">
        <v>105</v>
      </c>
      <c r="F67" s="41" t="s">
        <v>245</v>
      </c>
      <c r="G67" s="42" t="s">
        <v>72</v>
      </c>
      <c r="H67" s="42" t="s">
        <v>79</v>
      </c>
      <c r="I67" s="59" t="s">
        <v>82</v>
      </c>
      <c r="J67" s="43" t="s">
        <v>73</v>
      </c>
      <c r="K67" s="44" t="s">
        <v>172</v>
      </c>
      <c r="L67" s="45" t="s">
        <v>70</v>
      </c>
      <c r="M67" s="74" t="s">
        <v>75</v>
      </c>
      <c r="N67" s="55"/>
      <c r="O67" s="55"/>
      <c r="P67" s="55"/>
      <c r="Q67" s="46">
        <f t="shared" si="25"/>
        <v>10106.703867362161</v>
      </c>
      <c r="R67" s="47">
        <f t="shared" si="1"/>
        <v>101.06703867362161</v>
      </c>
      <c r="S67" s="48">
        <v>0.01</v>
      </c>
      <c r="T67" s="49"/>
      <c r="U67" s="56">
        <v>1.07578</v>
      </c>
      <c r="V67" s="58">
        <v>1.0764</v>
      </c>
      <c r="W67" s="50">
        <f t="shared" si="2"/>
        <v>6.2000000000006494E-4</v>
      </c>
      <c r="X67" s="51">
        <f t="shared" si="23"/>
        <v>101.06703867362161</v>
      </c>
      <c r="Y67" s="57">
        <v>1.0745400000000001</v>
      </c>
      <c r="Z67" s="50">
        <f t="shared" si="4"/>
        <v>1.2399999999999078E-3</v>
      </c>
      <c r="AA67" s="52">
        <f t="shared" si="21"/>
        <v>202.13407734720701</v>
      </c>
      <c r="AB67" s="53">
        <f t="shared" si="22"/>
        <v>1.9999999999996418</v>
      </c>
      <c r="AC67" s="41" t="s">
        <v>245</v>
      </c>
      <c r="AD67" s="58">
        <v>1.07545</v>
      </c>
      <c r="AE67" s="54">
        <v>-2.48</v>
      </c>
      <c r="AF67" s="54">
        <v>0</v>
      </c>
      <c r="AG67" s="54">
        <v>50</v>
      </c>
      <c r="AH67" s="115">
        <f t="shared" si="8"/>
        <v>47.52</v>
      </c>
      <c r="AI67" s="114">
        <f t="shared" si="14"/>
        <v>3.2999999999994145E-4</v>
      </c>
      <c r="AJ67" s="116">
        <f t="shared" si="15"/>
        <v>4.9472113417180739E-3</v>
      </c>
      <c r="AK67" s="98">
        <f t="shared" si="16"/>
        <v>4.7018296591688578E-3</v>
      </c>
      <c r="AL67" s="123">
        <f t="shared" si="24"/>
        <v>10154.223867362161</v>
      </c>
      <c r="AM67" s="17"/>
      <c r="AN67" s="17"/>
      <c r="AO67" s="17"/>
      <c r="AP67" s="17"/>
      <c r="AQ67" s="17"/>
      <c r="BH67" s="61" t="s">
        <v>246</v>
      </c>
      <c r="BI67" s="22" t="str">
        <f t="shared" si="26"/>
        <v>Exotics</v>
      </c>
    </row>
    <row r="68" spans="1:61" ht="15">
      <c r="A68" s="64"/>
      <c r="B68" s="121" t="s">
        <v>132</v>
      </c>
      <c r="C68" s="117">
        <v>139</v>
      </c>
      <c r="D68" s="39">
        <v>27</v>
      </c>
      <c r="E68" s="40" t="s">
        <v>105</v>
      </c>
      <c r="F68" s="41" t="s">
        <v>245</v>
      </c>
      <c r="G68" s="42" t="s">
        <v>72</v>
      </c>
      <c r="H68" s="42" t="s">
        <v>79</v>
      </c>
      <c r="I68" s="59" t="s">
        <v>82</v>
      </c>
      <c r="J68" s="43" t="s">
        <v>73</v>
      </c>
      <c r="K68" s="44" t="s">
        <v>172</v>
      </c>
      <c r="L68" s="45" t="s">
        <v>70</v>
      </c>
      <c r="M68" s="74" t="s">
        <v>75</v>
      </c>
      <c r="N68" s="55"/>
      <c r="O68" s="55"/>
      <c r="P68" s="55"/>
      <c r="Q68" s="46">
        <f t="shared" si="25"/>
        <v>10154.223867362161</v>
      </c>
      <c r="R68" s="47">
        <f t="shared" si="1"/>
        <v>101.54223867362161</v>
      </c>
      <c r="S68" s="48">
        <v>0.01</v>
      </c>
      <c r="T68" s="49"/>
      <c r="U68" s="56">
        <v>1.0760099999999999</v>
      </c>
      <c r="V68" s="58">
        <v>1.0764</v>
      </c>
      <c r="W68" s="50">
        <f t="shared" si="2"/>
        <v>3.9000000000011248E-4</v>
      </c>
      <c r="X68" s="51">
        <f t="shared" si="23"/>
        <v>101.54223867362161</v>
      </c>
      <c r="Y68" s="57">
        <v>1.0745400000000001</v>
      </c>
      <c r="Z68" s="50">
        <f t="shared" si="4"/>
        <v>1.4699999999998603E-3</v>
      </c>
      <c r="AA68" s="52">
        <f t="shared" si="21"/>
        <v>382.73613038504243</v>
      </c>
      <c r="AB68" s="53">
        <f t="shared" si="22"/>
        <v>3.7692307692293241</v>
      </c>
      <c r="AC68" s="41" t="s">
        <v>245</v>
      </c>
      <c r="AD68" s="58">
        <v>1.07545</v>
      </c>
      <c r="AE68" s="54">
        <v>-4.04</v>
      </c>
      <c r="AF68" s="54">
        <v>0</v>
      </c>
      <c r="AG68" s="54">
        <v>150</v>
      </c>
      <c r="AH68" s="115">
        <f t="shared" si="8"/>
        <v>145.96</v>
      </c>
      <c r="AI68" s="114">
        <f t="shared" si="14"/>
        <v>5.5999999999989392E-4</v>
      </c>
      <c r="AJ68" s="116">
        <f t="shared" si="15"/>
        <v>1.4772177761624102E-2</v>
      </c>
      <c r="AK68" s="98">
        <f t="shared" si="16"/>
        <v>1.4374313773911027E-2</v>
      </c>
      <c r="AL68" s="123">
        <f t="shared" si="24"/>
        <v>10300.183867362161</v>
      </c>
      <c r="AM68" s="17"/>
      <c r="AN68" s="17"/>
      <c r="AO68" s="17"/>
      <c r="AP68" s="17"/>
      <c r="AQ68" s="17"/>
      <c r="BH68" s="60" t="s">
        <v>247</v>
      </c>
      <c r="BI68" s="22" t="str">
        <f t="shared" si="26"/>
        <v>Exotics</v>
      </c>
    </row>
    <row r="69" spans="1:61" ht="15">
      <c r="A69" s="64"/>
      <c r="B69" s="121" t="s">
        <v>132</v>
      </c>
      <c r="C69" s="117">
        <v>140</v>
      </c>
      <c r="D69" s="39">
        <v>27</v>
      </c>
      <c r="E69" s="40" t="s">
        <v>101</v>
      </c>
      <c r="F69" s="41" t="s">
        <v>248</v>
      </c>
      <c r="G69" s="42" t="s">
        <v>72</v>
      </c>
      <c r="H69" s="42" t="s">
        <v>79</v>
      </c>
      <c r="I69" s="59" t="s">
        <v>129</v>
      </c>
      <c r="J69" s="43" t="s">
        <v>93</v>
      </c>
      <c r="K69" s="44" t="s">
        <v>103</v>
      </c>
      <c r="L69" s="45" t="s">
        <v>90</v>
      </c>
      <c r="M69" s="74" t="s">
        <v>89</v>
      </c>
      <c r="N69" s="55"/>
      <c r="O69" s="55"/>
      <c r="P69" s="55"/>
      <c r="Q69" s="46">
        <f t="shared" si="25"/>
        <v>10300.183867362161</v>
      </c>
      <c r="R69" s="47">
        <f t="shared" si="1"/>
        <v>103.00183867362161</v>
      </c>
      <c r="S69" s="48">
        <v>0.01</v>
      </c>
      <c r="T69" s="49"/>
      <c r="U69" s="56">
        <v>1.36233</v>
      </c>
      <c r="V69" s="58">
        <v>1.3619300000000001</v>
      </c>
      <c r="W69" s="50">
        <f t="shared" si="2"/>
        <v>3.9999999999995595E-4</v>
      </c>
      <c r="X69" s="51">
        <f t="shared" si="23"/>
        <v>103.00183867362161</v>
      </c>
      <c r="Y69" s="57">
        <v>1.36344</v>
      </c>
      <c r="Z69" s="50">
        <f t="shared" si="4"/>
        <v>1.1099999999999444E-3</v>
      </c>
      <c r="AA69" s="52">
        <f t="shared" si="21"/>
        <v>285.83010231931712</v>
      </c>
      <c r="AB69" s="53">
        <f t="shared" si="22"/>
        <v>2.7750000000001664</v>
      </c>
      <c r="AC69" s="41" t="s">
        <v>248</v>
      </c>
      <c r="AD69" s="58">
        <f>V69</f>
        <v>1.3619300000000001</v>
      </c>
      <c r="AE69" s="54">
        <v>-5.14</v>
      </c>
      <c r="AF69" s="54">
        <v>0</v>
      </c>
      <c r="AG69" s="54">
        <f>-X69</f>
        <v>-103.00183867362161</v>
      </c>
      <c r="AH69" s="115">
        <f t="shared" si="8"/>
        <v>-108.14183867362161</v>
      </c>
      <c r="AI69" s="114">
        <f t="shared" si="14"/>
        <v>-3.9999999999995595E-4</v>
      </c>
      <c r="AJ69" s="116">
        <f t="shared" si="15"/>
        <v>-0.01</v>
      </c>
      <c r="AK69" s="98">
        <f t="shared" si="16"/>
        <v>-1.0499020218103771E-2</v>
      </c>
      <c r="AL69" s="123">
        <f t="shared" si="24"/>
        <v>10192.042028688538</v>
      </c>
      <c r="AM69" s="17"/>
      <c r="AN69" s="17"/>
      <c r="AO69" s="17"/>
      <c r="AP69" s="17"/>
      <c r="AQ69" s="17"/>
      <c r="BH69" s="60" t="s">
        <v>249</v>
      </c>
      <c r="BI69" s="22" t="str">
        <f t="shared" si="26"/>
        <v>Exotics</v>
      </c>
    </row>
    <row r="70" spans="1:61" ht="15">
      <c r="A70" s="64"/>
      <c r="B70" s="121" t="s">
        <v>132</v>
      </c>
      <c r="C70" s="117">
        <v>141</v>
      </c>
      <c r="D70" s="39">
        <v>29</v>
      </c>
      <c r="E70" s="40" t="s">
        <v>71</v>
      </c>
      <c r="F70" s="41" t="s">
        <v>250</v>
      </c>
      <c r="G70" s="42" t="s">
        <v>92</v>
      </c>
      <c r="H70" s="42" t="s">
        <v>79</v>
      </c>
      <c r="I70" s="59" t="s">
        <v>121</v>
      </c>
      <c r="J70" s="43" t="s">
        <v>93</v>
      </c>
      <c r="K70" s="44" t="s">
        <v>168</v>
      </c>
      <c r="L70" s="45" t="s">
        <v>90</v>
      </c>
      <c r="M70" s="74" t="s">
        <v>89</v>
      </c>
      <c r="N70" s="55"/>
      <c r="O70" s="55"/>
      <c r="P70" s="55"/>
      <c r="Q70" s="46">
        <f t="shared" si="25"/>
        <v>10192.042028688538</v>
      </c>
      <c r="R70" s="47">
        <f t="shared" si="1"/>
        <v>101.92042028688539</v>
      </c>
      <c r="S70" s="48">
        <v>0.01</v>
      </c>
      <c r="T70" s="49"/>
      <c r="U70" s="56">
        <v>1.2979099999999999</v>
      </c>
      <c r="V70" s="58">
        <v>1.2973399999999999</v>
      </c>
      <c r="W70" s="50">
        <f t="shared" si="2"/>
        <v>5.6999999999995943E-4</v>
      </c>
      <c r="X70" s="51">
        <f t="shared" si="23"/>
        <v>101.92042028688539</v>
      </c>
      <c r="Y70" s="57">
        <v>1.29905</v>
      </c>
      <c r="Z70" s="50">
        <f t="shared" si="4"/>
        <v>1.1400000000001409E-3</v>
      </c>
      <c r="AA70" s="52">
        <f t="shared" si="21"/>
        <v>203.84084057381048</v>
      </c>
      <c r="AB70" s="53">
        <f t="shared" si="22"/>
        <v>2.0000000000003895</v>
      </c>
      <c r="AC70" s="41" t="s">
        <v>250</v>
      </c>
      <c r="AD70" s="58">
        <f>V70</f>
        <v>1.2973399999999999</v>
      </c>
      <c r="AE70" s="54">
        <v>-5.42</v>
      </c>
      <c r="AF70" s="54">
        <v>0</v>
      </c>
      <c r="AG70" s="54">
        <f>-X70</f>
        <v>-101.92042028688539</v>
      </c>
      <c r="AH70" s="115">
        <f t="shared" si="8"/>
        <v>-107.34042028688539</v>
      </c>
      <c r="AI70" s="114">
        <f t="shared" si="14"/>
        <v>-5.6999999999995943E-4</v>
      </c>
      <c r="AJ70" s="116">
        <f t="shared" si="15"/>
        <v>-0.01</v>
      </c>
      <c r="AK70" s="98">
        <f t="shared" si="16"/>
        <v>-1.0531787446003834E-2</v>
      </c>
      <c r="AL70" s="123">
        <f t="shared" si="24"/>
        <v>10084.701608401652</v>
      </c>
      <c r="AM70" s="17"/>
      <c r="AN70" s="17"/>
      <c r="AO70" s="17"/>
      <c r="AP70" s="17"/>
      <c r="AQ70" s="17"/>
      <c r="BH70" s="21" t="s">
        <v>251</v>
      </c>
      <c r="BI70" s="22" t="str">
        <f t="shared" si="26"/>
        <v>Exotics</v>
      </c>
    </row>
    <row r="71" spans="1:61" ht="15">
      <c r="A71" s="64"/>
      <c r="B71" s="121" t="s">
        <v>132</v>
      </c>
      <c r="C71" s="117">
        <v>142</v>
      </c>
      <c r="D71" s="39">
        <v>29</v>
      </c>
      <c r="E71" s="40" t="s">
        <v>105</v>
      </c>
      <c r="F71" s="41" t="s">
        <v>252</v>
      </c>
      <c r="G71" s="42" t="s">
        <v>72</v>
      </c>
      <c r="H71" s="42" t="s">
        <v>79</v>
      </c>
      <c r="I71" s="59" t="s">
        <v>82</v>
      </c>
      <c r="J71" s="43" t="s">
        <v>73</v>
      </c>
      <c r="K71" s="44" t="s">
        <v>103</v>
      </c>
      <c r="L71" s="45" t="s">
        <v>70</v>
      </c>
      <c r="M71" s="74" t="s">
        <v>89</v>
      </c>
      <c r="N71" s="55"/>
      <c r="O71" s="55"/>
      <c r="P71" s="55"/>
      <c r="Q71" s="46">
        <f t="shared" si="25"/>
        <v>10084.701608401652</v>
      </c>
      <c r="R71" s="47">
        <f t="shared" si="1"/>
        <v>100.84701608401653</v>
      </c>
      <c r="S71" s="48">
        <v>0.01</v>
      </c>
      <c r="T71" s="49"/>
      <c r="U71" s="56">
        <v>1.09392</v>
      </c>
      <c r="V71" s="58">
        <v>1.0943400000000001</v>
      </c>
      <c r="W71" s="50">
        <f t="shared" si="2"/>
        <v>4.2000000000008697E-4</v>
      </c>
      <c r="X71" s="51">
        <f t="shared" si="23"/>
        <v>100.84701608401653</v>
      </c>
      <c r="Y71" s="57">
        <v>1.0926499999999999</v>
      </c>
      <c r="Z71" s="50">
        <f t="shared" si="4"/>
        <v>1.2700000000001044E-3</v>
      </c>
      <c r="AA71" s="52">
        <f t="shared" si="21"/>
        <v>304.94216768258332</v>
      </c>
      <c r="AB71" s="53">
        <f t="shared" si="22"/>
        <v>3.0238095238091462</v>
      </c>
      <c r="AC71" s="41" t="s">
        <v>252</v>
      </c>
      <c r="AD71" s="58">
        <f>V71</f>
        <v>1.0943400000000001</v>
      </c>
      <c r="AE71" s="54">
        <v>-7.1</v>
      </c>
      <c r="AF71" s="54">
        <v>0</v>
      </c>
      <c r="AG71" s="54">
        <f>-X71</f>
        <v>-100.84701608401653</v>
      </c>
      <c r="AH71" s="115">
        <f t="shared" si="8"/>
        <v>-107.94701608401652</v>
      </c>
      <c r="AI71" s="114">
        <f t="shared" si="14"/>
        <v>-4.2000000000008697E-4</v>
      </c>
      <c r="AJ71" s="116">
        <f t="shared" si="15"/>
        <v>-0.01</v>
      </c>
      <c r="AK71" s="98">
        <f t="shared" si="16"/>
        <v>-1.0704036695947943E-2</v>
      </c>
      <c r="AL71" s="123">
        <f t="shared" si="24"/>
        <v>9976.7545923176349</v>
      </c>
      <c r="AM71" s="17"/>
      <c r="AN71" s="17"/>
      <c r="AO71" s="17"/>
      <c r="AP71" s="17"/>
      <c r="AQ71" s="17"/>
      <c r="BH71" s="21" t="s">
        <v>253</v>
      </c>
      <c r="BI71" s="63" t="str">
        <f t="shared" ref="BI71:BI81" si="27">$BA$14</f>
        <v>Futures</v>
      </c>
    </row>
    <row r="72" spans="1:61" ht="15">
      <c r="A72" s="64"/>
      <c r="B72" s="121" t="s">
        <v>132</v>
      </c>
      <c r="C72" s="117">
        <v>143</v>
      </c>
      <c r="D72" s="39">
        <v>29</v>
      </c>
      <c r="E72" s="40" t="s">
        <v>101</v>
      </c>
      <c r="F72" s="41" t="s">
        <v>220</v>
      </c>
      <c r="G72" s="42" t="s">
        <v>72</v>
      </c>
      <c r="H72" s="42" t="s">
        <v>79</v>
      </c>
      <c r="I72" s="59" t="s">
        <v>82</v>
      </c>
      <c r="J72" s="43" t="s">
        <v>93</v>
      </c>
      <c r="K72" s="44" t="s">
        <v>151</v>
      </c>
      <c r="L72" s="45" t="s">
        <v>90</v>
      </c>
      <c r="M72" s="74" t="s">
        <v>89</v>
      </c>
      <c r="N72" s="55"/>
      <c r="O72" s="55"/>
      <c r="P72" s="55"/>
      <c r="Q72" s="46">
        <f t="shared" si="25"/>
        <v>9976.7545923176349</v>
      </c>
      <c r="R72" s="47">
        <f t="shared" si="1"/>
        <v>99.767545923176357</v>
      </c>
      <c r="S72" s="48">
        <v>0.01</v>
      </c>
      <c r="T72" s="49"/>
      <c r="U72" s="56">
        <v>1.09341</v>
      </c>
      <c r="V72" s="58">
        <v>1.0929899999999999</v>
      </c>
      <c r="W72" s="50">
        <f t="shared" si="2"/>
        <v>4.2000000000008697E-4</v>
      </c>
      <c r="X72" s="51">
        <f t="shared" si="23"/>
        <v>99.767545923176357</v>
      </c>
      <c r="Y72" s="57">
        <v>1.09429</v>
      </c>
      <c r="Z72" s="50">
        <f t="shared" si="4"/>
        <v>8.799999999999919E-4</v>
      </c>
      <c r="AA72" s="52">
        <f t="shared" si="21"/>
        <v>209.03676288661001</v>
      </c>
      <c r="AB72" s="53">
        <f t="shared" si="22"/>
        <v>2.0952380952376419</v>
      </c>
      <c r="AC72" s="41" t="s">
        <v>254</v>
      </c>
      <c r="AD72" s="58">
        <f>V72</f>
        <v>1.0929899999999999</v>
      </c>
      <c r="AE72" s="54">
        <v>-7.36</v>
      </c>
      <c r="AF72" s="54">
        <v>0</v>
      </c>
      <c r="AG72" s="54">
        <f>-X72</f>
        <v>-99.767545923176357</v>
      </c>
      <c r="AH72" s="115">
        <f t="shared" si="8"/>
        <v>-107.12754592317636</v>
      </c>
      <c r="AI72" s="114">
        <f t="shared" si="14"/>
        <v>-4.2000000000008697E-4</v>
      </c>
      <c r="AJ72" s="116">
        <f t="shared" si="15"/>
        <v>-0.01</v>
      </c>
      <c r="AK72" s="98">
        <f t="shared" si="16"/>
        <v>-1.0737714848240067E-2</v>
      </c>
      <c r="AL72" s="123">
        <f t="shared" si="24"/>
        <v>9869.6270463944584</v>
      </c>
      <c r="AM72" s="17"/>
      <c r="AN72" s="17"/>
      <c r="AO72" s="17"/>
      <c r="AP72" s="17"/>
      <c r="AQ72" s="17"/>
      <c r="BH72" s="21" t="s">
        <v>255</v>
      </c>
      <c r="BI72" s="63" t="str">
        <f t="shared" si="27"/>
        <v>Futures</v>
      </c>
    </row>
    <row r="73" spans="1:61" ht="15">
      <c r="A73" s="64"/>
      <c r="B73" s="121" t="s">
        <v>132</v>
      </c>
      <c r="C73" s="117">
        <v>144</v>
      </c>
      <c r="D73" s="39">
        <v>29</v>
      </c>
      <c r="E73" s="40" t="s">
        <v>101</v>
      </c>
      <c r="F73" s="41" t="s">
        <v>220</v>
      </c>
      <c r="G73" s="42" t="s">
        <v>92</v>
      </c>
      <c r="H73" s="42" t="s">
        <v>79</v>
      </c>
      <c r="I73" s="59" t="s">
        <v>121</v>
      </c>
      <c r="J73" s="43" t="s">
        <v>107</v>
      </c>
      <c r="K73" s="44" t="s">
        <v>103</v>
      </c>
      <c r="L73" s="45" t="s">
        <v>90</v>
      </c>
      <c r="M73" s="74" t="s">
        <v>89</v>
      </c>
      <c r="N73" s="55"/>
      <c r="O73" s="55"/>
      <c r="P73" s="55"/>
      <c r="Q73" s="46">
        <f t="shared" si="25"/>
        <v>9869.6270463944584</v>
      </c>
      <c r="R73" s="47">
        <f t="shared" si="1"/>
        <v>98.696270463944586</v>
      </c>
      <c r="S73" s="48">
        <v>0.01</v>
      </c>
      <c r="T73" s="49"/>
      <c r="U73" s="56">
        <v>1.29809</v>
      </c>
      <c r="V73" s="58">
        <v>1.2976799999999999</v>
      </c>
      <c r="W73" s="50">
        <f t="shared" si="2"/>
        <v>4.1000000000002146E-4</v>
      </c>
      <c r="X73" s="51">
        <f t="shared" si="23"/>
        <v>98.696270463944586</v>
      </c>
      <c r="Y73" s="56">
        <v>1.2995699999999999</v>
      </c>
      <c r="Z73" s="50">
        <f t="shared" si="4"/>
        <v>1.4799999999999258E-3</v>
      </c>
      <c r="AA73" s="52">
        <f t="shared" si="21"/>
        <v>356.26946411371466</v>
      </c>
      <c r="AB73" s="53">
        <f t="shared" si="22"/>
        <v>3.6097560975606058</v>
      </c>
      <c r="AC73" s="41" t="s">
        <v>254</v>
      </c>
      <c r="AD73" s="58">
        <f>V73</f>
        <v>1.2976799999999999</v>
      </c>
      <c r="AE73" s="54">
        <v>-3.68</v>
      </c>
      <c r="AF73" s="54">
        <v>0</v>
      </c>
      <c r="AG73" s="54">
        <f>-X73</f>
        <v>-98.696270463944586</v>
      </c>
      <c r="AH73" s="115">
        <f t="shared" si="8"/>
        <v>-102.37627046394459</v>
      </c>
      <c r="AI73" s="114">
        <f t="shared" si="14"/>
        <v>-4.1000000000002146E-4</v>
      </c>
      <c r="AJ73" s="116">
        <f t="shared" si="15"/>
        <v>-0.01</v>
      </c>
      <c r="AK73" s="98">
        <f t="shared" si="16"/>
        <v>-1.0372861100292981E-2</v>
      </c>
      <c r="AL73" s="123">
        <f t="shared" si="24"/>
        <v>9767.2507759305136</v>
      </c>
      <c r="AM73" s="17"/>
      <c r="AN73" s="17"/>
      <c r="AO73" s="17"/>
      <c r="AP73" s="17"/>
      <c r="AQ73" s="17"/>
      <c r="BH73" s="21" t="s">
        <v>256</v>
      </c>
      <c r="BI73" s="63" t="str">
        <f t="shared" si="27"/>
        <v>Futures</v>
      </c>
    </row>
    <row r="74" spans="1:61" ht="15">
      <c r="A74" s="64"/>
      <c r="B74" s="121" t="s">
        <v>132</v>
      </c>
      <c r="C74" s="117">
        <v>145</v>
      </c>
      <c r="D74" s="39">
        <v>30</v>
      </c>
      <c r="E74" s="40" t="s">
        <v>71</v>
      </c>
      <c r="F74" s="41" t="s">
        <v>257</v>
      </c>
      <c r="G74" s="42" t="s">
        <v>72</v>
      </c>
      <c r="H74" s="42" t="s">
        <v>79</v>
      </c>
      <c r="I74" s="59" t="s">
        <v>82</v>
      </c>
      <c r="J74" s="43" t="s">
        <v>93</v>
      </c>
      <c r="K74" s="44" t="s">
        <v>103</v>
      </c>
      <c r="L74" s="45" t="s">
        <v>90</v>
      </c>
      <c r="M74" s="74" t="s">
        <v>89</v>
      </c>
      <c r="N74" s="55"/>
      <c r="O74" s="55"/>
      <c r="P74" s="55"/>
      <c r="Q74" s="46">
        <f t="shared" si="25"/>
        <v>9767.2507759305136</v>
      </c>
      <c r="R74" s="47">
        <f t="shared" si="1"/>
        <v>97.672507759305134</v>
      </c>
      <c r="S74" s="48">
        <v>0.01</v>
      </c>
      <c r="T74" s="49"/>
      <c r="U74" s="56">
        <v>1.08873</v>
      </c>
      <c r="V74" s="58">
        <v>1.0883400000000001</v>
      </c>
      <c r="W74" s="50">
        <f t="shared" si="2"/>
        <v>3.8999999999989043E-4</v>
      </c>
      <c r="X74" s="51">
        <f t="shared" si="23"/>
        <v>97.672507759305134</v>
      </c>
      <c r="Y74" s="57">
        <v>1.08917</v>
      </c>
      <c r="Z74" s="50">
        <f t="shared" si="4"/>
        <v>4.3999999999999595E-4</v>
      </c>
      <c r="AA74" s="52">
        <f t="shared" si="21"/>
        <v>110.19462413873318</v>
      </c>
      <c r="AB74" s="53">
        <f t="shared" si="22"/>
        <v>1.1282051282054348</v>
      </c>
      <c r="AC74" s="41" t="s">
        <v>257</v>
      </c>
      <c r="AD74" s="58">
        <f>V74</f>
        <v>1.0883400000000001</v>
      </c>
      <c r="AE74" s="54">
        <v>-7.78</v>
      </c>
      <c r="AF74" s="54">
        <v>0</v>
      </c>
      <c r="AG74" s="54">
        <f>-X74</f>
        <v>-97.672507759305134</v>
      </c>
      <c r="AH74" s="115">
        <f t="shared" si="8"/>
        <v>-105.45250775930513</v>
      </c>
      <c r="AI74" s="114">
        <f t="shared" si="14"/>
        <v>-3.8999999999989043E-4</v>
      </c>
      <c r="AJ74" s="116">
        <f t="shared" si="15"/>
        <v>-0.01</v>
      </c>
      <c r="AK74" s="98">
        <f t="shared" si="16"/>
        <v>-1.0796539392555817E-2</v>
      </c>
      <c r="AL74" s="123">
        <f t="shared" si="24"/>
        <v>9661.7982681712092</v>
      </c>
      <c r="AM74" s="17"/>
      <c r="AN74" s="17"/>
      <c r="AO74" s="17"/>
      <c r="AP74" s="17"/>
      <c r="AQ74" s="17"/>
      <c r="BH74" s="21" t="s">
        <v>258</v>
      </c>
      <c r="BI74" s="63" t="str">
        <f t="shared" si="27"/>
        <v>Futures</v>
      </c>
    </row>
    <row r="75" spans="1:61" ht="15">
      <c r="A75" s="64"/>
      <c r="B75" s="121" t="s">
        <v>132</v>
      </c>
      <c r="C75" s="117">
        <v>146</v>
      </c>
      <c r="D75" s="39">
        <v>30</v>
      </c>
      <c r="E75" s="40" t="s">
        <v>71</v>
      </c>
      <c r="F75" s="41" t="s">
        <v>257</v>
      </c>
      <c r="G75" s="42" t="s">
        <v>72</v>
      </c>
      <c r="H75" s="42" t="s">
        <v>79</v>
      </c>
      <c r="I75" s="59" t="s">
        <v>82</v>
      </c>
      <c r="J75" s="43" t="s">
        <v>93</v>
      </c>
      <c r="K75" s="44" t="s">
        <v>103</v>
      </c>
      <c r="L75" s="45" t="s">
        <v>90</v>
      </c>
      <c r="M75" s="74" t="s">
        <v>89</v>
      </c>
      <c r="N75" s="55"/>
      <c r="O75" s="55"/>
      <c r="P75" s="55"/>
      <c r="Q75" s="46">
        <f t="shared" si="25"/>
        <v>9661.7982681712092</v>
      </c>
      <c r="R75" s="47">
        <f t="shared" ref="R75:R138" si="28">IF(Q75="","",S75*Q75/100%)</f>
        <v>96.617982681712093</v>
      </c>
      <c r="S75" s="48">
        <v>0.01</v>
      </c>
      <c r="T75" s="49"/>
      <c r="U75" s="56">
        <v>1.0885</v>
      </c>
      <c r="V75" s="58">
        <v>1.0881000000000001</v>
      </c>
      <c r="W75" s="50">
        <f t="shared" ref="W75:W138" si="29">IF(V75="","",IF(L75="Long",U75-V75,V75-U75))</f>
        <v>3.9999999999995595E-4</v>
      </c>
      <c r="X75" s="51">
        <f t="shared" si="23"/>
        <v>96.617982681712093</v>
      </c>
      <c r="Y75" s="57">
        <v>1.0892999999999999</v>
      </c>
      <c r="Z75" s="50">
        <f t="shared" ref="Z75:Z138" si="30">IF(Y75="","",IF(L75="Long",Y75-U75,U75-Y75))</f>
        <v>7.9999999999991189E-4</v>
      </c>
      <c r="AA75" s="52">
        <f t="shared" si="21"/>
        <v>193.23596536342419</v>
      </c>
      <c r="AB75" s="53">
        <f t="shared" si="22"/>
        <v>2</v>
      </c>
      <c r="AC75" s="41" t="s">
        <v>257</v>
      </c>
      <c r="AD75" s="58">
        <f>V75</f>
        <v>1.0881000000000001</v>
      </c>
      <c r="AE75" s="54">
        <v>-7.5</v>
      </c>
      <c r="AF75" s="54">
        <v>0</v>
      </c>
      <c r="AG75" s="54">
        <f>-X75</f>
        <v>-96.617982681712093</v>
      </c>
      <c r="AH75" s="115">
        <f t="shared" si="8"/>
        <v>-104.11798268171209</v>
      </c>
      <c r="AI75" s="114">
        <f t="shared" si="14"/>
        <v>-3.9999999999995595E-4</v>
      </c>
      <c r="AJ75" s="116">
        <f t="shared" si="15"/>
        <v>-0.01</v>
      </c>
      <c r="AK75" s="98">
        <f t="shared" si="16"/>
        <v>-1.0776253011275053E-2</v>
      </c>
      <c r="AL75" s="123">
        <f t="shared" si="24"/>
        <v>9557.6802854894977</v>
      </c>
      <c r="AM75" s="17"/>
      <c r="AN75" s="17"/>
      <c r="AO75" s="17"/>
      <c r="AP75" s="17"/>
      <c r="AQ75" s="17"/>
      <c r="BH75" s="21" t="s">
        <v>259</v>
      </c>
      <c r="BI75" s="63" t="str">
        <f t="shared" si="27"/>
        <v>Futures</v>
      </c>
    </row>
    <row r="76" spans="1:61" ht="15">
      <c r="A76" s="64"/>
      <c r="B76" s="121" t="s">
        <v>132</v>
      </c>
      <c r="C76" s="117">
        <v>147</v>
      </c>
      <c r="D76" s="39">
        <v>30</v>
      </c>
      <c r="E76" s="40" t="s">
        <v>71</v>
      </c>
      <c r="F76" s="41" t="s">
        <v>257</v>
      </c>
      <c r="G76" s="42" t="s">
        <v>72</v>
      </c>
      <c r="H76" s="42" t="s">
        <v>79</v>
      </c>
      <c r="I76" s="59" t="s">
        <v>82</v>
      </c>
      <c r="J76" s="43" t="s">
        <v>93</v>
      </c>
      <c r="K76" s="44" t="s">
        <v>151</v>
      </c>
      <c r="L76" s="45" t="s">
        <v>90</v>
      </c>
      <c r="M76" s="74" t="s">
        <v>75</v>
      </c>
      <c r="N76" s="55"/>
      <c r="O76" s="55"/>
      <c r="P76" s="55"/>
      <c r="Q76" s="46">
        <f t="shared" si="25"/>
        <v>9557.6802854894977</v>
      </c>
      <c r="R76" s="47">
        <f t="shared" si="28"/>
        <v>95.576802854894979</v>
      </c>
      <c r="S76" s="48">
        <v>0.01</v>
      </c>
      <c r="T76" s="49"/>
      <c r="U76" s="56">
        <v>1.08857</v>
      </c>
      <c r="V76" s="58">
        <v>1.0880300000000001</v>
      </c>
      <c r="W76" s="50">
        <f t="shared" si="29"/>
        <v>5.3999999999998494E-4</v>
      </c>
      <c r="X76" s="51">
        <f t="shared" si="23"/>
        <v>95.576802854894979</v>
      </c>
      <c r="Y76" s="57">
        <v>1.08965</v>
      </c>
      <c r="Z76" s="50">
        <f t="shared" si="30"/>
        <v>1.0799999999999699E-3</v>
      </c>
      <c r="AA76" s="52">
        <f t="shared" si="21"/>
        <v>191.15360570978996</v>
      </c>
      <c r="AB76" s="53">
        <f t="shared" si="22"/>
        <v>2</v>
      </c>
      <c r="AC76" s="41" t="s">
        <v>257</v>
      </c>
      <c r="AD76" s="58">
        <v>1.08908</v>
      </c>
      <c r="AE76" s="54">
        <v>-5.34</v>
      </c>
      <c r="AF76" s="54">
        <v>0</v>
      </c>
      <c r="AG76" s="54">
        <f>AA76</f>
        <v>191.15360570978996</v>
      </c>
      <c r="AH76" s="115">
        <f t="shared" ref="AH76:AH139" si="31">IF(AG76="","",AG76+AF76+AE76)</f>
        <v>185.81360570978995</v>
      </c>
      <c r="AI76" s="114">
        <f t="shared" si="14"/>
        <v>5.1000000000001044E-4</v>
      </c>
      <c r="AJ76" s="116">
        <f t="shared" si="15"/>
        <v>0.02</v>
      </c>
      <c r="AK76" s="98">
        <f t="shared" si="16"/>
        <v>1.9441287023577551E-2</v>
      </c>
      <c r="AL76" s="123">
        <f t="shared" si="24"/>
        <v>9743.4938911992867</v>
      </c>
      <c r="AM76" s="17"/>
      <c r="AN76" s="17"/>
      <c r="AO76" s="17"/>
      <c r="AP76" s="17"/>
      <c r="AQ76" s="17"/>
      <c r="BH76" s="21" t="s">
        <v>260</v>
      </c>
      <c r="BI76" s="63" t="str">
        <f t="shared" si="27"/>
        <v>Futures</v>
      </c>
    </row>
    <row r="77" spans="1:61" ht="15">
      <c r="A77" s="64"/>
      <c r="B77" s="121" t="s">
        <v>132</v>
      </c>
      <c r="C77" s="117">
        <v>148</v>
      </c>
      <c r="D77" s="39">
        <v>30</v>
      </c>
      <c r="E77" s="40" t="s">
        <v>71</v>
      </c>
      <c r="F77" s="41" t="s">
        <v>257</v>
      </c>
      <c r="G77" s="42" t="s">
        <v>92</v>
      </c>
      <c r="H77" s="42" t="s">
        <v>79</v>
      </c>
      <c r="I77" s="59" t="s">
        <v>121</v>
      </c>
      <c r="J77" s="43" t="s">
        <v>73</v>
      </c>
      <c r="K77" s="44" t="s">
        <v>172</v>
      </c>
      <c r="L77" s="45" t="s">
        <v>70</v>
      </c>
      <c r="M77" s="74" t="s">
        <v>75</v>
      </c>
      <c r="N77" s="55"/>
      <c r="O77" s="55"/>
      <c r="P77" s="55"/>
      <c r="Q77" s="46">
        <f t="shared" si="25"/>
        <v>9743.4938911992867</v>
      </c>
      <c r="R77" s="47">
        <f t="shared" si="28"/>
        <v>97.434938911992873</v>
      </c>
      <c r="S77" s="48">
        <v>0.01</v>
      </c>
      <c r="T77" s="49"/>
      <c r="U77" s="56">
        <v>1.2935000000000001</v>
      </c>
      <c r="V77" s="58">
        <v>1.2942499999999999</v>
      </c>
      <c r="W77" s="50">
        <f t="shared" si="29"/>
        <v>7.4999999999980638E-4</v>
      </c>
      <c r="X77" s="51">
        <f t="shared" si="23"/>
        <v>97.434938911992873</v>
      </c>
      <c r="Y77" s="58">
        <v>1.2921800000000001</v>
      </c>
      <c r="Z77" s="50">
        <f t="shared" si="30"/>
        <v>1.3199999999999878E-3</v>
      </c>
      <c r="AA77" s="52">
        <f t="shared" si="21"/>
        <v>171.48549248515013</v>
      </c>
      <c r="AB77" s="53">
        <f t="shared" si="22"/>
        <v>1.7600000000004381</v>
      </c>
      <c r="AC77" s="41" t="s">
        <v>257</v>
      </c>
      <c r="AD77" s="58">
        <f>Y77</f>
        <v>1.2921800000000001</v>
      </c>
      <c r="AE77" s="54">
        <v>-4</v>
      </c>
      <c r="AF77" s="54">
        <v>0</v>
      </c>
      <c r="AG77" s="54">
        <f>AA77</f>
        <v>171.48549248515013</v>
      </c>
      <c r="AH77" s="115">
        <f t="shared" si="31"/>
        <v>167.48549248515013</v>
      </c>
      <c r="AI77" s="114">
        <f t="shared" si="14"/>
        <v>1.3199999999999878E-3</v>
      </c>
      <c r="AJ77" s="116">
        <f t="shared" si="15"/>
        <v>1.760000000000438E-2</v>
      </c>
      <c r="AK77" s="98">
        <f t="shared" si="16"/>
        <v>1.7189469645629861E-2</v>
      </c>
      <c r="AL77" s="123">
        <f t="shared" si="24"/>
        <v>9910.9793836844365</v>
      </c>
      <c r="AM77" s="17"/>
      <c r="AN77" s="17"/>
      <c r="AO77" s="17"/>
      <c r="AP77" s="17"/>
      <c r="AQ77" s="17"/>
      <c r="BH77" s="21" t="s">
        <v>261</v>
      </c>
      <c r="BI77" s="63" t="str">
        <f t="shared" si="27"/>
        <v>Futures</v>
      </c>
    </row>
    <row r="78" spans="1:61" ht="15">
      <c r="A78" s="64"/>
      <c r="B78" s="121" t="s">
        <v>132</v>
      </c>
      <c r="C78" s="117">
        <v>149</v>
      </c>
      <c r="D78" s="39">
        <v>30</v>
      </c>
      <c r="E78" s="40" t="s">
        <v>91</v>
      </c>
      <c r="F78" s="41" t="s">
        <v>262</v>
      </c>
      <c r="G78" s="42" t="s">
        <v>72</v>
      </c>
      <c r="H78" s="42" t="s">
        <v>79</v>
      </c>
      <c r="I78" s="59" t="s">
        <v>121</v>
      </c>
      <c r="J78" s="43" t="s">
        <v>93</v>
      </c>
      <c r="K78" s="44" t="s">
        <v>142</v>
      </c>
      <c r="L78" s="45" t="s">
        <v>90</v>
      </c>
      <c r="M78" s="74" t="s">
        <v>89</v>
      </c>
      <c r="N78" s="55"/>
      <c r="O78" s="55"/>
      <c r="P78" s="55"/>
      <c r="Q78" s="46">
        <f t="shared" si="25"/>
        <v>9910.9793836844365</v>
      </c>
      <c r="R78" s="47">
        <f t="shared" si="28"/>
        <v>99.109793836844361</v>
      </c>
      <c r="S78" s="48">
        <v>0.01</v>
      </c>
      <c r="T78" s="49"/>
      <c r="U78" s="56">
        <v>1.2920100000000001</v>
      </c>
      <c r="V78" s="58">
        <v>1.29138</v>
      </c>
      <c r="W78" s="50">
        <f t="shared" si="29"/>
        <v>6.3000000000013046E-4</v>
      </c>
      <c r="X78" s="51">
        <f t="shared" si="23"/>
        <v>99.109793836844361</v>
      </c>
      <c r="Y78" s="57">
        <v>1.2932699999999999</v>
      </c>
      <c r="Z78" s="50">
        <f t="shared" si="30"/>
        <v>1.2599999999998168E-3</v>
      </c>
      <c r="AA78" s="52">
        <f t="shared" si="21"/>
        <v>198.21958767361886</v>
      </c>
      <c r="AB78" s="53">
        <f t="shared" si="22"/>
        <v>1.999999999999295</v>
      </c>
      <c r="AC78" s="41" t="s">
        <v>262</v>
      </c>
      <c r="AD78" s="58">
        <f>V78</f>
        <v>1.29138</v>
      </c>
      <c r="AE78" s="54">
        <v>-4.78</v>
      </c>
      <c r="AF78" s="54">
        <v>0</v>
      </c>
      <c r="AG78" s="54">
        <f>-X78</f>
        <v>-99.109793836844361</v>
      </c>
      <c r="AH78" s="115">
        <f t="shared" si="31"/>
        <v>-103.88979383684436</v>
      </c>
      <c r="AI78" s="114">
        <f t="shared" si="14"/>
        <v>-6.3000000000013046E-4</v>
      </c>
      <c r="AJ78" s="116">
        <f t="shared" si="15"/>
        <v>-0.01</v>
      </c>
      <c r="AK78" s="98">
        <f t="shared" si="16"/>
        <v>-1.0482293405621334E-2</v>
      </c>
      <c r="AL78" s="123">
        <f t="shared" si="24"/>
        <v>9807.0895898475919</v>
      </c>
      <c r="AM78" s="17"/>
      <c r="AN78" s="17"/>
      <c r="AO78" s="17"/>
      <c r="AP78" s="17"/>
      <c r="AQ78" s="17"/>
      <c r="BH78" s="21" t="s">
        <v>263</v>
      </c>
      <c r="BI78" s="63" t="str">
        <f t="shared" si="27"/>
        <v>Futures</v>
      </c>
    </row>
    <row r="79" spans="1:61" ht="15">
      <c r="A79" s="64"/>
      <c r="B79" s="121" t="s">
        <v>132</v>
      </c>
      <c r="C79" s="117">
        <v>150</v>
      </c>
      <c r="D79" s="39">
        <v>30</v>
      </c>
      <c r="E79" s="40" t="s">
        <v>91</v>
      </c>
      <c r="F79" s="41" t="s">
        <v>262</v>
      </c>
      <c r="G79" s="42" t="s">
        <v>72</v>
      </c>
      <c r="H79" s="42" t="s">
        <v>79</v>
      </c>
      <c r="I79" s="59" t="s">
        <v>82</v>
      </c>
      <c r="J79" s="43" t="s">
        <v>93</v>
      </c>
      <c r="K79" s="44" t="s">
        <v>103</v>
      </c>
      <c r="L79" s="45" t="s">
        <v>90</v>
      </c>
      <c r="M79" s="74" t="s">
        <v>89</v>
      </c>
      <c r="N79" s="55"/>
      <c r="O79" s="55"/>
      <c r="P79" s="55"/>
      <c r="Q79" s="46">
        <f t="shared" si="25"/>
        <v>9807.0895898475919</v>
      </c>
      <c r="R79" s="47">
        <f t="shared" si="28"/>
        <v>98.070895898475925</v>
      </c>
      <c r="S79" s="48">
        <v>0.01</v>
      </c>
      <c r="T79" s="49"/>
      <c r="U79" s="56">
        <v>1.0875699999999999</v>
      </c>
      <c r="V79" s="58">
        <v>1.0870599999999999</v>
      </c>
      <c r="W79" s="50">
        <f t="shared" si="29"/>
        <v>5.1000000000001044E-4</v>
      </c>
      <c r="X79" s="51">
        <f t="shared" si="23"/>
        <v>98.070895898475925</v>
      </c>
      <c r="Y79" s="57">
        <v>1.08887</v>
      </c>
      <c r="Z79" s="50">
        <f t="shared" si="30"/>
        <v>1.3000000000000789E-3</v>
      </c>
      <c r="AA79" s="52">
        <f t="shared" si="21"/>
        <v>249.98463660396828</v>
      </c>
      <c r="AB79" s="53">
        <f t="shared" si="22"/>
        <v>2.5490196078432397</v>
      </c>
      <c r="AC79" s="41" t="s">
        <v>262</v>
      </c>
      <c r="AD79" s="58">
        <f>V79</f>
        <v>1.0870599999999999</v>
      </c>
      <c r="AE79" s="54">
        <v>-5.96</v>
      </c>
      <c r="AF79" s="54">
        <v>0</v>
      </c>
      <c r="AG79" s="54">
        <f>-X79</f>
        <v>-98.070895898475925</v>
      </c>
      <c r="AH79" s="115">
        <f t="shared" si="31"/>
        <v>-104.03089589847592</v>
      </c>
      <c r="AI79" s="114">
        <f t="shared" ref="AI79:AI142" si="32">IF(AD79="","",IF(L79="Long",AD79-U79,U79-AD79))</f>
        <v>-5.1000000000001044E-4</v>
      </c>
      <c r="AJ79" s="116">
        <f t="shared" ref="AJ79:AJ142" si="33">IF(AI79="","",AG79*S79/X79)</f>
        <v>-0.01</v>
      </c>
      <c r="AK79" s="98">
        <f t="shared" ref="AK79:AK142" si="34">IF(AI79="","",(AG79+AF79+AE79)*S79/X79)</f>
        <v>-1.0607723621304516E-2</v>
      </c>
      <c r="AL79" s="123">
        <f t="shared" si="24"/>
        <v>9703.0586939491168</v>
      </c>
      <c r="AM79" s="17"/>
      <c r="AN79" s="17"/>
      <c r="AO79" s="17"/>
      <c r="AP79" s="17"/>
      <c r="AQ79" s="17"/>
      <c r="BH79" s="21" t="s">
        <v>264</v>
      </c>
      <c r="BI79" s="63" t="str">
        <f t="shared" si="27"/>
        <v>Futures</v>
      </c>
    </row>
    <row r="80" spans="1:61" ht="15">
      <c r="A80" s="64"/>
      <c r="B80" s="121" t="s">
        <v>132</v>
      </c>
      <c r="C80" s="117">
        <v>151</v>
      </c>
      <c r="D80" s="39">
        <v>30</v>
      </c>
      <c r="E80" s="40" t="s">
        <v>105</v>
      </c>
      <c r="F80" s="41" t="s">
        <v>265</v>
      </c>
      <c r="G80" s="42" t="s">
        <v>72</v>
      </c>
      <c r="H80" s="42" t="s">
        <v>79</v>
      </c>
      <c r="I80" s="59" t="s">
        <v>82</v>
      </c>
      <c r="J80" s="43" t="s">
        <v>93</v>
      </c>
      <c r="K80" s="44" t="s">
        <v>151</v>
      </c>
      <c r="L80" s="45" t="s">
        <v>90</v>
      </c>
      <c r="M80" s="74" t="s">
        <v>75</v>
      </c>
      <c r="N80" s="55"/>
      <c r="O80" s="55"/>
      <c r="P80" s="55"/>
      <c r="Q80" s="46">
        <f t="shared" si="25"/>
        <v>9703.0586939491168</v>
      </c>
      <c r="R80" s="47">
        <f t="shared" si="28"/>
        <v>97.030586939491172</v>
      </c>
      <c r="S80" s="48">
        <v>0.01</v>
      </c>
      <c r="T80" s="49"/>
      <c r="U80" s="56">
        <v>1.08345</v>
      </c>
      <c r="V80" s="58">
        <v>1.08274</v>
      </c>
      <c r="W80" s="50">
        <f t="shared" si="29"/>
        <v>7.0999999999998842E-4</v>
      </c>
      <c r="X80" s="51">
        <f t="shared" si="23"/>
        <v>97.030586939491172</v>
      </c>
      <c r="Y80" s="57">
        <v>1.085</v>
      </c>
      <c r="Z80" s="50">
        <f t="shared" si="30"/>
        <v>1.5499999999999403E-3</v>
      </c>
      <c r="AA80" s="52">
        <f t="shared" si="21"/>
        <v>211.82733768479994</v>
      </c>
      <c r="AB80" s="53">
        <f t="shared" si="22"/>
        <v>2.1830985915492471</v>
      </c>
      <c r="AC80" s="41" t="s">
        <v>265</v>
      </c>
      <c r="AD80" s="58">
        <f>Y80</f>
        <v>1.085</v>
      </c>
      <c r="AE80" s="54">
        <v>-4.01</v>
      </c>
      <c r="AF80" s="54">
        <v>0</v>
      </c>
      <c r="AG80" s="54">
        <f>AA80</f>
        <v>211.82733768479994</v>
      </c>
      <c r="AH80" s="115">
        <f t="shared" si="31"/>
        <v>207.81733768479995</v>
      </c>
      <c r="AI80" s="114">
        <f t="shared" si="32"/>
        <v>1.5499999999999403E-3</v>
      </c>
      <c r="AJ80" s="116">
        <f t="shared" si="33"/>
        <v>2.1830985915492471E-2</v>
      </c>
      <c r="AK80" s="98">
        <f t="shared" si="34"/>
        <v>2.1417714170315804E-2</v>
      </c>
      <c r="AL80" s="123">
        <f t="shared" si="24"/>
        <v>9910.8760316339176</v>
      </c>
      <c r="AM80" s="17"/>
      <c r="AN80" s="17"/>
      <c r="AO80" s="17"/>
      <c r="AP80" s="17"/>
      <c r="AQ80" s="17"/>
      <c r="BH80" s="21" t="s">
        <v>266</v>
      </c>
      <c r="BI80" s="63" t="str">
        <f t="shared" si="27"/>
        <v>Futures</v>
      </c>
    </row>
    <row r="81" spans="1:61" ht="15">
      <c r="A81" s="64"/>
      <c r="B81" s="121" t="s">
        <v>132</v>
      </c>
      <c r="C81" s="117">
        <v>152</v>
      </c>
      <c r="D81" s="39">
        <v>30</v>
      </c>
      <c r="E81" s="40" t="s">
        <v>101</v>
      </c>
      <c r="F81" s="41" t="s">
        <v>267</v>
      </c>
      <c r="G81" s="42" t="s">
        <v>72</v>
      </c>
      <c r="H81" s="42" t="s">
        <v>79</v>
      </c>
      <c r="I81" s="59" t="s">
        <v>121</v>
      </c>
      <c r="J81" s="43" t="s">
        <v>93</v>
      </c>
      <c r="K81" s="44" t="s">
        <v>168</v>
      </c>
      <c r="L81" s="45" t="s">
        <v>90</v>
      </c>
      <c r="M81" s="74" t="s">
        <v>89</v>
      </c>
      <c r="N81" s="55"/>
      <c r="O81" s="55"/>
      <c r="P81" s="55"/>
      <c r="Q81" s="46">
        <f t="shared" si="25"/>
        <v>9910.8760316339176</v>
      </c>
      <c r="R81" s="47">
        <f t="shared" si="28"/>
        <v>99.108760316339172</v>
      </c>
      <c r="S81" s="48">
        <v>0.01</v>
      </c>
      <c r="T81" s="49"/>
      <c r="U81" s="56">
        <v>1.2883599999999999</v>
      </c>
      <c r="V81" s="58">
        <v>1.2879100000000001</v>
      </c>
      <c r="W81" s="50">
        <f t="shared" si="29"/>
        <v>4.4999999999983942E-4</v>
      </c>
      <c r="X81" s="51">
        <f t="shared" si="23"/>
        <v>99.108760316339172</v>
      </c>
      <c r="Y81" s="57">
        <v>1.28956</v>
      </c>
      <c r="Z81" s="50">
        <f t="shared" si="30"/>
        <v>1.2000000000000899E-3</v>
      </c>
      <c r="AA81" s="52">
        <f t="shared" si="21"/>
        <v>264.29002751035188</v>
      </c>
      <c r="AB81" s="53">
        <f t="shared" si="22"/>
        <v>2.666666666667818</v>
      </c>
      <c r="AC81" s="41" t="s">
        <v>267</v>
      </c>
      <c r="AD81" s="58">
        <f>V81</f>
        <v>1.2879100000000001</v>
      </c>
      <c r="AE81" s="54">
        <v>-6.48</v>
      </c>
      <c r="AF81" s="54">
        <v>0</v>
      </c>
      <c r="AG81" s="54">
        <f>-X81</f>
        <v>-99.108760316339172</v>
      </c>
      <c r="AH81" s="115">
        <f t="shared" si="31"/>
        <v>-105.58876031633918</v>
      </c>
      <c r="AI81" s="114">
        <f t="shared" si="32"/>
        <v>-4.4999999999983942E-4</v>
      </c>
      <c r="AJ81" s="116">
        <f t="shared" si="33"/>
        <v>-0.01</v>
      </c>
      <c r="AK81" s="98">
        <f t="shared" si="34"/>
        <v>-1.0653827167176432E-2</v>
      </c>
      <c r="AL81" s="123">
        <f t="shared" si="24"/>
        <v>9805.2872713175784</v>
      </c>
      <c r="AM81" s="17"/>
      <c r="AN81" s="17"/>
      <c r="AO81" s="17"/>
      <c r="AP81" s="17"/>
      <c r="AQ81" s="17"/>
      <c r="BH81" s="21" t="s">
        <v>268</v>
      </c>
      <c r="BI81" s="63" t="str">
        <f t="shared" si="27"/>
        <v>Futures</v>
      </c>
    </row>
    <row r="82" spans="1:61" ht="15">
      <c r="A82" s="64"/>
      <c r="B82" s="121" t="s">
        <v>132</v>
      </c>
      <c r="C82" s="117">
        <v>153</v>
      </c>
      <c r="D82" s="39">
        <v>30</v>
      </c>
      <c r="E82" s="40" t="s">
        <v>101</v>
      </c>
      <c r="F82" s="41" t="s">
        <v>267</v>
      </c>
      <c r="G82" s="42" t="s">
        <v>72</v>
      </c>
      <c r="H82" s="42" t="s">
        <v>79</v>
      </c>
      <c r="I82" s="59" t="s">
        <v>82</v>
      </c>
      <c r="J82" s="43" t="s">
        <v>93</v>
      </c>
      <c r="K82" s="44" t="s">
        <v>103</v>
      </c>
      <c r="L82" s="45" t="s">
        <v>90</v>
      </c>
      <c r="M82" s="74" t="s">
        <v>75</v>
      </c>
      <c r="N82" s="55"/>
      <c r="O82" s="55"/>
      <c r="P82" s="55"/>
      <c r="Q82" s="46">
        <f t="shared" si="25"/>
        <v>9805.2872713175784</v>
      </c>
      <c r="R82" s="47">
        <f t="shared" si="28"/>
        <v>98.052872713175788</v>
      </c>
      <c r="S82" s="48">
        <v>0.01</v>
      </c>
      <c r="T82" s="49"/>
      <c r="U82" s="56">
        <v>1.08321</v>
      </c>
      <c r="V82" s="58">
        <v>1.0827800000000001</v>
      </c>
      <c r="W82" s="50">
        <f t="shared" si="29"/>
        <v>4.2999999999993044E-4</v>
      </c>
      <c r="X82" s="51">
        <f t="shared" si="23"/>
        <v>98.052872713175788</v>
      </c>
      <c r="Y82" s="57">
        <v>1.0839799999999999</v>
      </c>
      <c r="Z82" s="50">
        <f t="shared" si="30"/>
        <v>7.699999999999374E-4</v>
      </c>
      <c r="AA82" s="52">
        <f t="shared" ref="AA82:AA145" si="35">IF(AB82="","",AB82*X82/1)</f>
        <v>175.58305113756148</v>
      </c>
      <c r="AB82" s="53">
        <f t="shared" ref="AB82:AB145" si="36">IF(Z82="","",Z82*1/W82)</f>
        <v>1.7906976744187488</v>
      </c>
      <c r="AC82" s="41" t="s">
        <v>267</v>
      </c>
      <c r="AD82" s="58">
        <f>Y82</f>
        <v>1.0839799999999999</v>
      </c>
      <c r="AE82" s="54">
        <v>-6.56</v>
      </c>
      <c r="AF82" s="54">
        <v>0</v>
      </c>
      <c r="AG82" s="54">
        <f>AA82</f>
        <v>175.58305113756148</v>
      </c>
      <c r="AH82" s="115">
        <f t="shared" si="31"/>
        <v>169.02305113756148</v>
      </c>
      <c r="AI82" s="114">
        <f t="shared" si="32"/>
        <v>7.699999999999374E-4</v>
      </c>
      <c r="AJ82" s="116">
        <f t="shared" si="33"/>
        <v>1.7906976744187491E-2</v>
      </c>
      <c r="AK82" s="98">
        <f t="shared" si="34"/>
        <v>1.7237949940741425E-2</v>
      </c>
      <c r="AL82" s="123">
        <f t="shared" si="24"/>
        <v>9974.3103224551396</v>
      </c>
      <c r="AM82" s="17"/>
      <c r="AN82" s="17"/>
      <c r="AO82" s="17"/>
      <c r="AP82" s="17"/>
      <c r="AQ82" s="17"/>
      <c r="BH82" s="21" t="s">
        <v>269</v>
      </c>
      <c r="BI82" s="63" t="s">
        <v>270</v>
      </c>
    </row>
    <row r="83" spans="1:61" ht="15">
      <c r="A83" s="64"/>
      <c r="B83" s="121" t="s">
        <v>132</v>
      </c>
      <c r="C83" s="117">
        <v>154</v>
      </c>
      <c r="D83" s="39">
        <v>30</v>
      </c>
      <c r="E83" s="40" t="s">
        <v>125</v>
      </c>
      <c r="F83" s="41" t="s">
        <v>271</v>
      </c>
      <c r="G83" s="42" t="s">
        <v>72</v>
      </c>
      <c r="H83" s="42" t="s">
        <v>79</v>
      </c>
      <c r="I83" s="59" t="s">
        <v>121</v>
      </c>
      <c r="J83" s="43" t="s">
        <v>117</v>
      </c>
      <c r="K83" s="44" t="s">
        <v>168</v>
      </c>
      <c r="L83" s="45" t="s">
        <v>70</v>
      </c>
      <c r="M83" s="74" t="s">
        <v>89</v>
      </c>
      <c r="N83" s="55"/>
      <c r="O83" s="55"/>
      <c r="P83" s="55"/>
      <c r="Q83" s="46">
        <f t="shared" si="25"/>
        <v>9974.3103224551396</v>
      </c>
      <c r="R83" s="47">
        <f t="shared" si="28"/>
        <v>99.743103224551405</v>
      </c>
      <c r="S83" s="48">
        <v>0.01</v>
      </c>
      <c r="T83" s="49"/>
      <c r="U83" s="56">
        <v>1.2864199999999999</v>
      </c>
      <c r="V83" s="58">
        <v>1.28704</v>
      </c>
      <c r="W83" s="50">
        <f t="shared" si="29"/>
        <v>6.2000000000006494E-4</v>
      </c>
      <c r="X83" s="51">
        <f t="shared" ref="X83:X146" si="37">IF(W83="","",R83)</f>
        <v>99.743103224551405</v>
      </c>
      <c r="Y83" s="57">
        <v>1.2845599999999999</v>
      </c>
      <c r="Z83" s="50">
        <f t="shared" si="30"/>
        <v>1.8599999999999728E-3</v>
      </c>
      <c r="AA83" s="52">
        <f t="shared" si="35"/>
        <v>299.2293096736185</v>
      </c>
      <c r="AB83" s="53">
        <f t="shared" si="36"/>
        <v>2.9999999999996421</v>
      </c>
      <c r="AC83" s="41" t="s">
        <v>272</v>
      </c>
      <c r="AD83" s="58">
        <f>V83</f>
        <v>1.28704</v>
      </c>
      <c r="AE83" s="54">
        <v>-4.9800000000000004</v>
      </c>
      <c r="AF83" s="54">
        <v>0</v>
      </c>
      <c r="AG83" s="54">
        <f>-X83</f>
        <v>-99.743103224551405</v>
      </c>
      <c r="AH83" s="115">
        <f t="shared" si="31"/>
        <v>-104.72310322455141</v>
      </c>
      <c r="AI83" s="114">
        <f t="shared" si="32"/>
        <v>-6.2000000000006494E-4</v>
      </c>
      <c r="AJ83" s="116">
        <f t="shared" si="33"/>
        <v>-0.01</v>
      </c>
      <c r="AK83" s="98">
        <f t="shared" si="34"/>
        <v>-1.0499282641005117E-2</v>
      </c>
      <c r="AL83" s="123">
        <f t="shared" si="24"/>
        <v>9869.5872192305887</v>
      </c>
      <c r="AM83" s="17"/>
      <c r="AN83" s="17"/>
      <c r="AO83" s="17"/>
      <c r="AP83" s="17"/>
      <c r="AQ83" s="17"/>
      <c r="BH83" s="21" t="s">
        <v>273</v>
      </c>
      <c r="BI83" s="63" t="s">
        <v>127</v>
      </c>
    </row>
    <row r="84" spans="1:61" ht="15">
      <c r="A84" s="64"/>
      <c r="B84" s="121" t="s">
        <v>132</v>
      </c>
      <c r="C84" s="117">
        <v>155</v>
      </c>
      <c r="D84" s="39">
        <v>30</v>
      </c>
      <c r="E84" s="40" t="s">
        <v>125</v>
      </c>
      <c r="F84" s="41" t="s">
        <v>271</v>
      </c>
      <c r="G84" s="42" t="s">
        <v>72</v>
      </c>
      <c r="H84" s="42" t="s">
        <v>79</v>
      </c>
      <c r="I84" s="59" t="s">
        <v>121</v>
      </c>
      <c r="J84" s="43" t="s">
        <v>117</v>
      </c>
      <c r="K84" s="44" t="s">
        <v>168</v>
      </c>
      <c r="L84" s="45" t="s">
        <v>70</v>
      </c>
      <c r="M84" s="74" t="s">
        <v>89</v>
      </c>
      <c r="N84" s="55"/>
      <c r="O84" s="55"/>
      <c r="P84" s="55"/>
      <c r="Q84" s="46">
        <f t="shared" si="25"/>
        <v>9869.5872192305887</v>
      </c>
      <c r="R84" s="47">
        <f t="shared" si="28"/>
        <v>98.695872192305885</v>
      </c>
      <c r="S84" s="48">
        <v>0.01</v>
      </c>
      <c r="T84" s="49"/>
      <c r="U84" s="56">
        <v>1.2865</v>
      </c>
      <c r="V84" s="58">
        <v>1.28694</v>
      </c>
      <c r="W84" s="50">
        <f t="shared" si="29"/>
        <v>4.3999999999999595E-4</v>
      </c>
      <c r="X84" s="51">
        <f t="shared" si="37"/>
        <v>98.695872192305885</v>
      </c>
      <c r="Y84" s="57">
        <v>1.2851699999999999</v>
      </c>
      <c r="Z84" s="50">
        <f t="shared" si="30"/>
        <v>1.3300000000000534E-3</v>
      </c>
      <c r="AA84" s="52">
        <f t="shared" si="35"/>
        <v>298.33070458130294</v>
      </c>
      <c r="AB84" s="53">
        <f t="shared" si="36"/>
        <v>3.0227272727274217</v>
      </c>
      <c r="AC84" s="41" t="s">
        <v>271</v>
      </c>
      <c r="AD84" s="58">
        <f>V84</f>
        <v>1.28694</v>
      </c>
      <c r="AE84" s="54">
        <v>-6.78</v>
      </c>
      <c r="AF84" s="54">
        <v>0</v>
      </c>
      <c r="AG84" s="54">
        <f>-X84</f>
        <v>-98.695872192305885</v>
      </c>
      <c r="AH84" s="115">
        <f t="shared" si="31"/>
        <v>-105.47587219230589</v>
      </c>
      <c r="AI84" s="114">
        <f t="shared" si="32"/>
        <v>-4.3999999999999595E-4</v>
      </c>
      <c r="AJ84" s="116">
        <f t="shared" si="33"/>
        <v>-0.01</v>
      </c>
      <c r="AK84" s="98">
        <f t="shared" si="34"/>
        <v>-1.0686958821012229E-2</v>
      </c>
      <c r="AL84" s="123">
        <f t="shared" si="24"/>
        <v>9764.1113470382825</v>
      </c>
      <c r="AM84" s="17"/>
      <c r="AN84" s="17"/>
      <c r="AO84" s="17"/>
      <c r="AP84" s="17"/>
      <c r="AQ84" s="17"/>
      <c r="BH84" s="62"/>
      <c r="BI84" s="127"/>
    </row>
    <row r="85" spans="1:61" ht="15">
      <c r="A85" s="64"/>
      <c r="B85" s="121" t="s">
        <v>132</v>
      </c>
      <c r="C85" s="117">
        <v>156</v>
      </c>
      <c r="D85" s="39">
        <v>31</v>
      </c>
      <c r="E85" s="40" t="s">
        <v>71</v>
      </c>
      <c r="F85" s="41" t="s">
        <v>274</v>
      </c>
      <c r="G85" s="42" t="s">
        <v>92</v>
      </c>
      <c r="H85" s="42" t="s">
        <v>79</v>
      </c>
      <c r="I85" s="59" t="s">
        <v>121</v>
      </c>
      <c r="J85" s="43" t="s">
        <v>107</v>
      </c>
      <c r="K85" s="44" t="s">
        <v>103</v>
      </c>
      <c r="L85" s="45" t="s">
        <v>90</v>
      </c>
      <c r="M85" s="74" t="s">
        <v>75</v>
      </c>
      <c r="N85" s="55"/>
      <c r="O85" s="55"/>
      <c r="P85" s="55"/>
      <c r="Q85" s="46">
        <f t="shared" si="25"/>
        <v>9764.1113470382825</v>
      </c>
      <c r="R85" s="47">
        <f t="shared" si="28"/>
        <v>97.641113470382834</v>
      </c>
      <c r="S85" s="48">
        <v>0.01</v>
      </c>
      <c r="T85" s="49"/>
      <c r="U85" s="56">
        <v>1.2827999999999999</v>
      </c>
      <c r="V85" s="58">
        <v>1.2823199999999999</v>
      </c>
      <c r="W85" s="50">
        <f t="shared" si="29"/>
        <v>4.8000000000003595E-4</v>
      </c>
      <c r="X85" s="51">
        <f t="shared" si="37"/>
        <v>97.641113470382834</v>
      </c>
      <c r="Y85" s="57">
        <v>1.2835799999999999</v>
      </c>
      <c r="Z85" s="50">
        <f t="shared" si="30"/>
        <v>7.8000000000000291E-4</v>
      </c>
      <c r="AA85" s="52">
        <f t="shared" si="35"/>
        <v>158.66680938936082</v>
      </c>
      <c r="AB85" s="53">
        <f t="shared" si="36"/>
        <v>1.6249999999998843</v>
      </c>
      <c r="AC85" s="41" t="s">
        <v>274</v>
      </c>
      <c r="AD85" s="58">
        <f>Y85</f>
        <v>1.2835799999999999</v>
      </c>
      <c r="AE85" s="54">
        <v>-6.54</v>
      </c>
      <c r="AF85" s="54">
        <v>0</v>
      </c>
      <c r="AG85" s="54">
        <f>AA85</f>
        <v>158.66680938936082</v>
      </c>
      <c r="AH85" s="115">
        <f t="shared" si="31"/>
        <v>152.12680938936083</v>
      </c>
      <c r="AI85" s="114">
        <f t="shared" si="32"/>
        <v>7.8000000000000291E-4</v>
      </c>
      <c r="AJ85" s="116">
        <f t="shared" si="33"/>
        <v>1.6249999999998845E-2</v>
      </c>
      <c r="AK85" s="98">
        <f t="shared" si="34"/>
        <v>1.5580200182324321E-2</v>
      </c>
      <c r="AL85" s="123">
        <f t="shared" si="24"/>
        <v>9916.2381564276438</v>
      </c>
      <c r="AM85" s="17"/>
      <c r="AN85" s="17"/>
      <c r="AO85" s="17"/>
      <c r="AP85" s="17"/>
      <c r="AQ85" s="17"/>
      <c r="BH85" s="62"/>
      <c r="BI85" s="127"/>
    </row>
    <row r="86" spans="1:61" ht="15">
      <c r="A86" s="64"/>
      <c r="B86" s="121" t="s">
        <v>132</v>
      </c>
      <c r="C86" s="117">
        <v>157</v>
      </c>
      <c r="D86" s="39">
        <v>31</v>
      </c>
      <c r="E86" s="40" t="s">
        <v>91</v>
      </c>
      <c r="F86" s="41" t="s">
        <v>275</v>
      </c>
      <c r="G86" s="42" t="s">
        <v>92</v>
      </c>
      <c r="H86" s="42" t="s">
        <v>79</v>
      </c>
      <c r="I86" s="59" t="s">
        <v>82</v>
      </c>
      <c r="J86" s="43" t="s">
        <v>93</v>
      </c>
      <c r="K86" s="44" t="s">
        <v>168</v>
      </c>
      <c r="L86" s="45" t="s">
        <v>90</v>
      </c>
      <c r="M86" s="74" t="s">
        <v>89</v>
      </c>
      <c r="N86" s="55"/>
      <c r="O86" s="55"/>
      <c r="P86" s="55"/>
      <c r="Q86" s="46">
        <f t="shared" si="25"/>
        <v>9916.2381564276438</v>
      </c>
      <c r="R86" s="47">
        <f t="shared" si="28"/>
        <v>99.162381564276444</v>
      </c>
      <c r="S86" s="48">
        <v>0.01</v>
      </c>
      <c r="T86" s="49"/>
      <c r="U86" s="56">
        <v>1.08097</v>
      </c>
      <c r="V86" s="58">
        <v>1.0801000000000001</v>
      </c>
      <c r="W86" s="50">
        <f t="shared" si="29"/>
        <v>8.6999999999992639E-4</v>
      </c>
      <c r="X86" s="51">
        <f t="shared" si="37"/>
        <v>99.162381564276444</v>
      </c>
      <c r="Y86" s="57">
        <v>1.0827100000000001</v>
      </c>
      <c r="Z86" s="50">
        <f t="shared" si="30"/>
        <v>1.7400000000000748E-3</v>
      </c>
      <c r="AA86" s="52">
        <f t="shared" si="35"/>
        <v>198.32476312857821</v>
      </c>
      <c r="AB86" s="53">
        <f t="shared" si="36"/>
        <v>2.0000000000002554</v>
      </c>
      <c r="AC86" s="41" t="s">
        <v>275</v>
      </c>
      <c r="AD86" s="58">
        <f>V86</f>
        <v>1.0801000000000001</v>
      </c>
      <c r="AE86" s="54">
        <v>-3.16</v>
      </c>
      <c r="AF86" s="54">
        <v>0</v>
      </c>
      <c r="AG86" s="54">
        <f>-X86</f>
        <v>-99.162381564276444</v>
      </c>
      <c r="AH86" s="115">
        <f t="shared" si="31"/>
        <v>-102.32238156427644</v>
      </c>
      <c r="AI86" s="114">
        <f t="shared" si="32"/>
        <v>-8.6999999999992639E-4</v>
      </c>
      <c r="AJ86" s="116">
        <f t="shared" si="33"/>
        <v>-0.01</v>
      </c>
      <c r="AK86" s="98">
        <f t="shared" si="34"/>
        <v>-1.0318669232238205E-2</v>
      </c>
      <c r="AL86" s="123">
        <f t="shared" si="24"/>
        <v>9813.9157748633679</v>
      </c>
      <c r="AM86" s="17"/>
      <c r="AN86" s="17"/>
      <c r="AO86" s="17"/>
      <c r="AP86" s="17"/>
      <c r="AQ86" s="17"/>
      <c r="BH86" s="62"/>
      <c r="BI86" s="127"/>
    </row>
    <row r="87" spans="1:61" ht="15">
      <c r="A87" s="64"/>
      <c r="B87" s="121" t="s">
        <v>132</v>
      </c>
      <c r="C87" s="117">
        <v>158</v>
      </c>
      <c r="D87" s="39">
        <v>31</v>
      </c>
      <c r="E87" s="40" t="s">
        <v>105</v>
      </c>
      <c r="F87" s="41" t="s">
        <v>276</v>
      </c>
      <c r="G87" s="42" t="s">
        <v>92</v>
      </c>
      <c r="H87" s="42" t="s">
        <v>79</v>
      </c>
      <c r="I87" s="59" t="s">
        <v>82</v>
      </c>
      <c r="J87" s="43" t="s">
        <v>73</v>
      </c>
      <c r="K87" s="44" t="s">
        <v>168</v>
      </c>
      <c r="L87" s="45" t="s">
        <v>70</v>
      </c>
      <c r="M87" s="74" t="s">
        <v>89</v>
      </c>
      <c r="N87" s="55"/>
      <c r="O87" s="55"/>
      <c r="P87" s="55"/>
      <c r="Q87" s="46">
        <f t="shared" si="25"/>
        <v>9813.9157748633679</v>
      </c>
      <c r="R87" s="47">
        <f t="shared" si="28"/>
        <v>98.139157748633679</v>
      </c>
      <c r="S87" s="48">
        <v>0.01</v>
      </c>
      <c r="T87" s="49"/>
      <c r="U87" s="56">
        <v>1.08311</v>
      </c>
      <c r="V87" s="58">
        <v>1.0836399999999999</v>
      </c>
      <c r="W87" s="50">
        <f t="shared" si="29"/>
        <v>5.2999999999991942E-4</v>
      </c>
      <c r="X87" s="51">
        <f t="shared" si="37"/>
        <v>98.139157748633679</v>
      </c>
      <c r="Y87" s="57">
        <v>1.0820399999999999</v>
      </c>
      <c r="Z87" s="50">
        <f t="shared" si="30"/>
        <v>1.0700000000001264E-3</v>
      </c>
      <c r="AA87" s="52">
        <f t="shared" si="35"/>
        <v>198.12999771899322</v>
      </c>
      <c r="AB87" s="53">
        <f t="shared" si="36"/>
        <v>2.0188679245288474</v>
      </c>
      <c r="AC87" s="41" t="s">
        <v>276</v>
      </c>
      <c r="AD87" s="58">
        <f>V87</f>
        <v>1.0836399999999999</v>
      </c>
      <c r="AE87" s="54">
        <v>-7.56</v>
      </c>
      <c r="AF87" s="54">
        <v>0</v>
      </c>
      <c r="AG87" s="54">
        <f>-X87</f>
        <v>-98.139157748633679</v>
      </c>
      <c r="AH87" s="115">
        <f t="shared" si="31"/>
        <v>-105.69915774863368</v>
      </c>
      <c r="AI87" s="114">
        <f t="shared" si="32"/>
        <v>-5.2999999999991942E-4</v>
      </c>
      <c r="AJ87" s="116">
        <f t="shared" si="33"/>
        <v>-0.01</v>
      </c>
      <c r="AK87" s="98">
        <f t="shared" si="34"/>
        <v>-1.0770334713831925E-2</v>
      </c>
      <c r="AL87" s="123">
        <f t="shared" ref="AL87:AL101" si="38">Q87+AH87</f>
        <v>9708.2166171147346</v>
      </c>
      <c r="AM87" s="17"/>
      <c r="AN87" s="17"/>
      <c r="AO87" s="17"/>
      <c r="AP87" s="17"/>
      <c r="AQ87" s="17"/>
    </row>
    <row r="88" spans="1:61" ht="15">
      <c r="A88" s="64"/>
      <c r="B88" s="121" t="s">
        <v>132</v>
      </c>
      <c r="C88" s="117">
        <v>159</v>
      </c>
      <c r="D88" s="39">
        <v>31</v>
      </c>
      <c r="E88" s="40" t="s">
        <v>101</v>
      </c>
      <c r="F88" s="41" t="s">
        <v>277</v>
      </c>
      <c r="G88" s="42" t="s">
        <v>72</v>
      </c>
      <c r="H88" s="42" t="s">
        <v>79</v>
      </c>
      <c r="I88" s="59" t="s">
        <v>121</v>
      </c>
      <c r="J88" s="43" t="s">
        <v>93</v>
      </c>
      <c r="K88" s="44" t="s">
        <v>103</v>
      </c>
      <c r="L88" s="45" t="s">
        <v>90</v>
      </c>
      <c r="M88" s="74" t="s">
        <v>89</v>
      </c>
      <c r="N88" s="55"/>
      <c r="O88" s="55"/>
      <c r="P88" s="55"/>
      <c r="Q88" s="46">
        <f t="shared" si="25"/>
        <v>9708.2166171147346</v>
      </c>
      <c r="R88" s="47">
        <f t="shared" si="28"/>
        <v>97.08216617114735</v>
      </c>
      <c r="S88" s="48">
        <v>0.01</v>
      </c>
      <c r="T88" s="49"/>
      <c r="U88" s="56">
        <v>1.2796700000000001</v>
      </c>
      <c r="V88" s="58">
        <v>1.27877</v>
      </c>
      <c r="W88" s="50">
        <f t="shared" si="29"/>
        <v>9.0000000000012292E-4</v>
      </c>
      <c r="X88" s="51">
        <f t="shared" si="37"/>
        <v>97.08216617114735</v>
      </c>
      <c r="Y88" s="57">
        <v>1.282</v>
      </c>
      <c r="Z88" s="50">
        <f t="shared" si="30"/>
        <v>2.3299999999999432E-3</v>
      </c>
      <c r="AA88" s="52">
        <f t="shared" si="35"/>
        <v>251.33494130970766</v>
      </c>
      <c r="AB88" s="53">
        <f t="shared" si="36"/>
        <v>2.588888888888472</v>
      </c>
      <c r="AC88" s="41" t="s">
        <v>277</v>
      </c>
      <c r="AD88" s="58">
        <f>V88</f>
        <v>1.27877</v>
      </c>
      <c r="AE88" s="54">
        <v>-3.11</v>
      </c>
      <c r="AF88" s="54">
        <v>0</v>
      </c>
      <c r="AG88" s="54">
        <f>-X88</f>
        <v>-97.08216617114735</v>
      </c>
      <c r="AH88" s="115">
        <f t="shared" si="31"/>
        <v>-100.19216617114735</v>
      </c>
      <c r="AI88" s="114">
        <f t="shared" si="32"/>
        <v>-9.0000000000012292E-4</v>
      </c>
      <c r="AJ88" s="116">
        <f t="shared" si="33"/>
        <v>-0.01</v>
      </c>
      <c r="AK88" s="98">
        <f t="shared" si="34"/>
        <v>-1.0320347198940467E-2</v>
      </c>
      <c r="AL88" s="123">
        <f t="shared" si="38"/>
        <v>9608.024450943587</v>
      </c>
      <c r="AM88" s="17"/>
      <c r="AN88" s="17"/>
      <c r="AO88" s="17"/>
      <c r="AP88" s="17"/>
      <c r="AQ88" s="17"/>
    </row>
    <row r="89" spans="1:61" ht="15">
      <c r="A89" s="64"/>
      <c r="B89" s="121" t="s">
        <v>132</v>
      </c>
      <c r="C89" s="117">
        <v>160</v>
      </c>
      <c r="D89" s="39">
        <v>31</v>
      </c>
      <c r="E89" s="40" t="s">
        <v>125</v>
      </c>
      <c r="F89" s="41" t="s">
        <v>278</v>
      </c>
      <c r="G89" s="42" t="s">
        <v>72</v>
      </c>
      <c r="H89" s="42" t="s">
        <v>79</v>
      </c>
      <c r="I89" s="59" t="s">
        <v>82</v>
      </c>
      <c r="J89" s="43" t="s">
        <v>73</v>
      </c>
      <c r="K89" s="44" t="s">
        <v>103</v>
      </c>
      <c r="L89" s="45" t="s">
        <v>70</v>
      </c>
      <c r="M89" s="74" t="s">
        <v>89</v>
      </c>
      <c r="N89" s="55"/>
      <c r="O89" s="55"/>
      <c r="P89" s="55"/>
      <c r="Q89" s="46">
        <f t="shared" si="25"/>
        <v>9608.024450943587</v>
      </c>
      <c r="R89" s="47">
        <f t="shared" si="28"/>
        <v>96.080244509435872</v>
      </c>
      <c r="S89" s="48">
        <v>0.01</v>
      </c>
      <c r="T89" s="49"/>
      <c r="U89" s="56">
        <v>1.0805499999999999</v>
      </c>
      <c r="V89" s="58">
        <v>1.08108</v>
      </c>
      <c r="W89" s="50">
        <f t="shared" si="29"/>
        <v>5.3000000000014147E-4</v>
      </c>
      <c r="X89" s="51">
        <f t="shared" si="37"/>
        <v>96.080244509435872</v>
      </c>
      <c r="Y89" s="57">
        <v>1.07952</v>
      </c>
      <c r="Z89" s="50">
        <f t="shared" si="30"/>
        <v>1.0299999999998644E-3</v>
      </c>
      <c r="AA89" s="52">
        <f t="shared" si="35"/>
        <v>186.72198461260282</v>
      </c>
      <c r="AB89" s="53">
        <f t="shared" si="36"/>
        <v>1.9433962264143196</v>
      </c>
      <c r="AC89" s="41" t="s">
        <v>278</v>
      </c>
      <c r="AD89" s="58">
        <f>V89</f>
        <v>1.08108</v>
      </c>
      <c r="AE89" s="54">
        <v>-5.3</v>
      </c>
      <c r="AF89" s="54">
        <v>0</v>
      </c>
      <c r="AG89" s="54">
        <f>-X89</f>
        <v>-96.080244509435872</v>
      </c>
      <c r="AH89" s="115">
        <f t="shared" si="31"/>
        <v>-101.38024450943587</v>
      </c>
      <c r="AI89" s="114">
        <f t="shared" si="32"/>
        <v>-5.3000000000014147E-4</v>
      </c>
      <c r="AJ89" s="116">
        <f t="shared" si="33"/>
        <v>-0.01</v>
      </c>
      <c r="AK89" s="98">
        <f t="shared" si="34"/>
        <v>-1.0551622243163578E-2</v>
      </c>
      <c r="AL89" s="123">
        <f t="shared" si="38"/>
        <v>9506.6442064341518</v>
      </c>
      <c r="AM89" s="17"/>
      <c r="AN89" s="17"/>
      <c r="AO89" s="17"/>
      <c r="AP89" s="17"/>
      <c r="AQ89" s="17"/>
    </row>
    <row r="90" spans="1:61" ht="15">
      <c r="A90" s="64"/>
      <c r="B90" s="121" t="s">
        <v>132</v>
      </c>
      <c r="C90" s="117">
        <v>161</v>
      </c>
      <c r="D90" s="39">
        <v>31</v>
      </c>
      <c r="E90" s="40" t="s">
        <v>125</v>
      </c>
      <c r="F90" s="41" t="s">
        <v>278</v>
      </c>
      <c r="G90" s="42" t="s">
        <v>92</v>
      </c>
      <c r="H90" s="42" t="s">
        <v>79</v>
      </c>
      <c r="I90" s="59" t="s">
        <v>82</v>
      </c>
      <c r="J90" s="43" t="s">
        <v>73</v>
      </c>
      <c r="K90" s="44" t="s">
        <v>103</v>
      </c>
      <c r="L90" s="45" t="s">
        <v>70</v>
      </c>
      <c r="M90" s="74" t="s">
        <v>89</v>
      </c>
      <c r="N90" s="55"/>
      <c r="O90" s="55"/>
      <c r="P90" s="55"/>
      <c r="Q90" s="46">
        <f t="shared" si="25"/>
        <v>9506.6442064341518</v>
      </c>
      <c r="R90" s="47">
        <f t="shared" si="28"/>
        <v>95.066442064341516</v>
      </c>
      <c r="S90" s="48">
        <v>0.01</v>
      </c>
      <c r="T90" s="49"/>
      <c r="U90" s="56">
        <v>1.08205</v>
      </c>
      <c r="V90" s="58">
        <v>1.0825499999999999</v>
      </c>
      <c r="W90" s="50">
        <f t="shared" si="29"/>
        <v>4.9999999999994493E-4</v>
      </c>
      <c r="X90" s="51">
        <f t="shared" si="37"/>
        <v>95.066442064341516</v>
      </c>
      <c r="Y90" s="57">
        <v>1.07952</v>
      </c>
      <c r="Z90" s="50">
        <f t="shared" si="30"/>
        <v>2.5299999999999212E-3</v>
      </c>
      <c r="AA90" s="52">
        <f t="shared" si="35"/>
        <v>481.03619684560601</v>
      </c>
      <c r="AB90" s="53">
        <f t="shared" si="36"/>
        <v>5.0600000000003993</v>
      </c>
      <c r="AC90" s="41" t="s">
        <v>278</v>
      </c>
      <c r="AD90" s="58">
        <f>V90</f>
        <v>1.0825499999999999</v>
      </c>
      <c r="AE90" s="54">
        <v>-5.94</v>
      </c>
      <c r="AF90" s="54">
        <v>0</v>
      </c>
      <c r="AG90" s="54">
        <f>-X90</f>
        <v>-95.066442064341516</v>
      </c>
      <c r="AH90" s="115">
        <f t="shared" si="31"/>
        <v>-101.00644206434151</v>
      </c>
      <c r="AI90" s="114">
        <f t="shared" si="32"/>
        <v>-4.9999999999994493E-4</v>
      </c>
      <c r="AJ90" s="116">
        <f t="shared" si="33"/>
        <v>-0.01</v>
      </c>
      <c r="AK90" s="98">
        <f t="shared" si="34"/>
        <v>-1.0624826160631925E-2</v>
      </c>
      <c r="AL90" s="123">
        <f t="shared" si="38"/>
        <v>9405.6377643698106</v>
      </c>
      <c r="AM90" s="17"/>
      <c r="AN90" s="17"/>
      <c r="AO90" s="17"/>
      <c r="AP90" s="17"/>
      <c r="AQ90" s="17"/>
    </row>
    <row r="91" spans="1:61" ht="15">
      <c r="A91" s="64"/>
      <c r="B91" s="121" t="s">
        <v>132</v>
      </c>
      <c r="C91" s="117">
        <v>162</v>
      </c>
      <c r="D91" s="39">
        <v>32</v>
      </c>
      <c r="E91" s="40" t="s">
        <v>71</v>
      </c>
      <c r="F91" s="41" t="s">
        <v>279</v>
      </c>
      <c r="G91" s="42" t="s">
        <v>92</v>
      </c>
      <c r="H91" s="42" t="s">
        <v>127</v>
      </c>
      <c r="I91" s="59" t="s">
        <v>273</v>
      </c>
      <c r="J91" s="43" t="s">
        <v>93</v>
      </c>
      <c r="K91" s="44" t="s">
        <v>103</v>
      </c>
      <c r="L91" s="45" t="s">
        <v>90</v>
      </c>
      <c r="M91" s="128"/>
      <c r="N91" s="55"/>
      <c r="O91" s="55"/>
      <c r="P91" s="55"/>
      <c r="Q91" s="46">
        <f t="shared" si="25"/>
        <v>9405.6377643698106</v>
      </c>
      <c r="R91" s="47">
        <f t="shared" si="28"/>
        <v>94.056377643698113</v>
      </c>
      <c r="S91" s="48">
        <v>0.01</v>
      </c>
      <c r="T91" s="49"/>
      <c r="U91" s="56">
        <v>17393.849999999999</v>
      </c>
      <c r="V91" s="58">
        <v>17307.93</v>
      </c>
      <c r="W91" s="50">
        <f t="shared" si="29"/>
        <v>85.919999999998254</v>
      </c>
      <c r="X91" s="51">
        <f t="shared" si="37"/>
        <v>94.056377643698113</v>
      </c>
      <c r="Y91" s="57">
        <v>17714.900000000001</v>
      </c>
      <c r="Z91" s="50">
        <f t="shared" si="30"/>
        <v>321.05000000000291</v>
      </c>
      <c r="AA91" s="52">
        <f t="shared" si="35"/>
        <v>351.45251446124496</v>
      </c>
      <c r="AB91" s="53">
        <f t="shared" si="36"/>
        <v>3.736615456238471</v>
      </c>
      <c r="AC91" s="41" t="s">
        <v>279</v>
      </c>
      <c r="AD91" s="58">
        <v>17358.45</v>
      </c>
      <c r="AE91" s="54">
        <v>0</v>
      </c>
      <c r="AF91" s="54">
        <v>0</v>
      </c>
      <c r="AG91" s="54">
        <v>-30</v>
      </c>
      <c r="AH91" s="115">
        <f t="shared" si="31"/>
        <v>-30</v>
      </c>
      <c r="AI91" s="114">
        <f t="shared" si="32"/>
        <v>-35.399999999997817</v>
      </c>
      <c r="AJ91" s="116">
        <f t="shared" si="33"/>
        <v>-3.1895763744639633E-3</v>
      </c>
      <c r="AK91" s="98">
        <f t="shared" si="34"/>
        <v>-3.1895763744639633E-3</v>
      </c>
      <c r="AL91" s="123">
        <f t="shared" si="38"/>
        <v>9375.6377643698106</v>
      </c>
      <c r="AM91" s="17"/>
      <c r="AN91" s="17"/>
      <c r="AO91" s="17"/>
      <c r="AP91" s="17"/>
      <c r="AQ91" s="17"/>
    </row>
    <row r="92" spans="1:61" ht="15">
      <c r="A92" s="64"/>
      <c r="B92" s="121"/>
      <c r="C92" s="117"/>
      <c r="D92" s="39"/>
      <c r="E92" s="40"/>
      <c r="F92" s="41"/>
      <c r="G92" s="42"/>
      <c r="H92" s="42"/>
      <c r="I92" s="59"/>
      <c r="J92" s="43"/>
      <c r="K92" s="44"/>
      <c r="L92" s="45"/>
      <c r="M92" s="74"/>
      <c r="N92" s="55"/>
      <c r="O92" s="55"/>
      <c r="P92" s="55"/>
      <c r="Q92" s="46">
        <f t="shared" si="25"/>
        <v>9375.6377643698106</v>
      </c>
      <c r="R92" s="47">
        <f t="shared" si="28"/>
        <v>93.756377643698102</v>
      </c>
      <c r="S92" s="48">
        <v>0.01</v>
      </c>
      <c r="T92" s="49"/>
      <c r="U92" s="56"/>
      <c r="V92" s="58"/>
      <c r="W92" s="50" t="str">
        <f t="shared" si="29"/>
        <v/>
      </c>
      <c r="X92" s="51" t="str">
        <f t="shared" si="37"/>
        <v/>
      </c>
      <c r="Y92" s="57"/>
      <c r="Z92" s="50" t="str">
        <f t="shared" si="30"/>
        <v/>
      </c>
      <c r="AA92" s="52" t="str">
        <f t="shared" si="35"/>
        <v/>
      </c>
      <c r="AB92" s="53" t="str">
        <f t="shared" si="36"/>
        <v/>
      </c>
      <c r="AC92" s="41"/>
      <c r="AD92" s="58"/>
      <c r="AE92" s="54"/>
      <c r="AF92" s="54">
        <v>0</v>
      </c>
      <c r="AG92" s="54"/>
      <c r="AH92" s="115" t="str">
        <f t="shared" si="31"/>
        <v/>
      </c>
      <c r="AI92" s="114" t="str">
        <f t="shared" si="32"/>
        <v/>
      </c>
      <c r="AJ92" s="116" t="str">
        <f t="shared" si="33"/>
        <v/>
      </c>
      <c r="AK92" s="98" t="str">
        <f t="shared" si="34"/>
        <v/>
      </c>
      <c r="AL92" s="123" t="e">
        <f t="shared" si="38"/>
        <v>#VALUE!</v>
      </c>
      <c r="AM92" s="17"/>
      <c r="AN92" s="17"/>
      <c r="AO92" s="17"/>
      <c r="AP92" s="17"/>
      <c r="AQ92" s="17"/>
    </row>
    <row r="93" spans="1:61" ht="15">
      <c r="A93" s="64"/>
      <c r="B93" s="121"/>
      <c r="C93" s="117"/>
      <c r="D93" s="39"/>
      <c r="E93" s="40"/>
      <c r="F93" s="41"/>
      <c r="G93" s="42"/>
      <c r="H93" s="42"/>
      <c r="I93" s="59"/>
      <c r="J93" s="43"/>
      <c r="K93" s="44"/>
      <c r="L93" s="45"/>
      <c r="M93" s="74"/>
      <c r="N93" s="55"/>
      <c r="O93" s="55"/>
      <c r="P93" s="55"/>
      <c r="Q93" s="46" t="e">
        <f t="shared" si="25"/>
        <v>#VALUE!</v>
      </c>
      <c r="R93" s="47" t="e">
        <f t="shared" si="28"/>
        <v>#VALUE!</v>
      </c>
      <c r="S93" s="48">
        <v>0.01</v>
      </c>
      <c r="T93" s="49"/>
      <c r="U93" s="56"/>
      <c r="V93" s="58"/>
      <c r="W93" s="50" t="str">
        <f t="shared" si="29"/>
        <v/>
      </c>
      <c r="X93" s="51" t="str">
        <f t="shared" si="37"/>
        <v/>
      </c>
      <c r="Y93" s="57"/>
      <c r="Z93" s="50" t="str">
        <f t="shared" si="30"/>
        <v/>
      </c>
      <c r="AA93" s="52" t="str">
        <f t="shared" si="35"/>
        <v/>
      </c>
      <c r="AB93" s="53" t="str">
        <f t="shared" si="36"/>
        <v/>
      </c>
      <c r="AC93" s="41"/>
      <c r="AD93" s="58"/>
      <c r="AE93" s="54"/>
      <c r="AF93" s="54">
        <v>0</v>
      </c>
      <c r="AG93" s="54"/>
      <c r="AH93" s="115" t="str">
        <f t="shared" si="31"/>
        <v/>
      </c>
      <c r="AI93" s="114" t="str">
        <f t="shared" si="32"/>
        <v/>
      </c>
      <c r="AJ93" s="116" t="str">
        <f t="shared" si="33"/>
        <v/>
      </c>
      <c r="AK93" s="98" t="str">
        <f t="shared" si="34"/>
        <v/>
      </c>
      <c r="AL93" s="123" t="e">
        <f t="shared" si="38"/>
        <v>#VALUE!</v>
      </c>
      <c r="AM93" s="17"/>
      <c r="AN93" s="17"/>
      <c r="AO93" s="17"/>
      <c r="AP93" s="17"/>
      <c r="AQ93" s="17"/>
    </row>
    <row r="94" spans="1:61" ht="15">
      <c r="A94" s="64"/>
      <c r="B94" s="121"/>
      <c r="C94" s="117"/>
      <c r="D94" s="39"/>
      <c r="E94" s="40"/>
      <c r="F94" s="41"/>
      <c r="G94" s="42"/>
      <c r="H94" s="42"/>
      <c r="I94" s="59"/>
      <c r="J94" s="43"/>
      <c r="K94" s="44"/>
      <c r="L94" s="45"/>
      <c r="M94" s="74"/>
      <c r="N94" s="55"/>
      <c r="O94" s="55"/>
      <c r="P94" s="55"/>
      <c r="Q94" s="46" t="e">
        <f t="shared" si="25"/>
        <v>#VALUE!</v>
      </c>
      <c r="R94" s="47" t="e">
        <f t="shared" si="28"/>
        <v>#VALUE!</v>
      </c>
      <c r="S94" s="48">
        <v>0.01</v>
      </c>
      <c r="T94" s="49"/>
      <c r="U94" s="56"/>
      <c r="V94" s="58"/>
      <c r="W94" s="50" t="str">
        <f t="shared" si="29"/>
        <v/>
      </c>
      <c r="X94" s="51" t="str">
        <f t="shared" si="37"/>
        <v/>
      </c>
      <c r="Y94" s="57"/>
      <c r="Z94" s="50" t="str">
        <f t="shared" si="30"/>
        <v/>
      </c>
      <c r="AA94" s="52" t="str">
        <f t="shared" si="35"/>
        <v/>
      </c>
      <c r="AB94" s="53" t="str">
        <f t="shared" si="36"/>
        <v/>
      </c>
      <c r="AC94" s="41"/>
      <c r="AD94" s="58"/>
      <c r="AE94" s="54"/>
      <c r="AF94" s="54">
        <v>0</v>
      </c>
      <c r="AG94" s="54"/>
      <c r="AH94" s="115" t="str">
        <f t="shared" si="31"/>
        <v/>
      </c>
      <c r="AI94" s="114" t="str">
        <f t="shared" si="32"/>
        <v/>
      </c>
      <c r="AJ94" s="116" t="str">
        <f t="shared" si="33"/>
        <v/>
      </c>
      <c r="AK94" s="98" t="str">
        <f t="shared" si="34"/>
        <v/>
      </c>
      <c r="AL94" s="123" t="e">
        <f t="shared" si="38"/>
        <v>#VALUE!</v>
      </c>
      <c r="AM94" s="17"/>
      <c r="AN94" s="17"/>
      <c r="AO94" s="17"/>
      <c r="AP94" s="17"/>
      <c r="AQ94" s="17"/>
    </row>
    <row r="95" spans="1:61" ht="15">
      <c r="A95" s="64"/>
      <c r="B95" s="121"/>
      <c r="C95" s="117"/>
      <c r="D95" s="39"/>
      <c r="E95" s="40"/>
      <c r="F95" s="41"/>
      <c r="G95" s="42"/>
      <c r="H95" s="42"/>
      <c r="I95" s="59"/>
      <c r="J95" s="43"/>
      <c r="K95" s="44"/>
      <c r="L95" s="45"/>
      <c r="M95" s="74"/>
      <c r="N95" s="55"/>
      <c r="O95" s="55"/>
      <c r="P95" s="55"/>
      <c r="Q95" s="46" t="e">
        <f t="shared" si="25"/>
        <v>#VALUE!</v>
      </c>
      <c r="R95" s="47" t="e">
        <f t="shared" si="28"/>
        <v>#VALUE!</v>
      </c>
      <c r="S95" s="48">
        <v>0.01</v>
      </c>
      <c r="T95" s="49"/>
      <c r="U95" s="56"/>
      <c r="V95" s="58"/>
      <c r="W95" s="50" t="str">
        <f t="shared" si="29"/>
        <v/>
      </c>
      <c r="X95" s="51" t="str">
        <f t="shared" si="37"/>
        <v/>
      </c>
      <c r="Y95" s="57"/>
      <c r="Z95" s="50" t="str">
        <f t="shared" si="30"/>
        <v/>
      </c>
      <c r="AA95" s="52" t="str">
        <f t="shared" si="35"/>
        <v/>
      </c>
      <c r="AB95" s="53" t="str">
        <f t="shared" si="36"/>
        <v/>
      </c>
      <c r="AC95" s="41"/>
      <c r="AD95" s="58"/>
      <c r="AE95" s="54"/>
      <c r="AF95" s="54">
        <v>0</v>
      </c>
      <c r="AG95" s="54"/>
      <c r="AH95" s="115" t="str">
        <f t="shared" si="31"/>
        <v/>
      </c>
      <c r="AI95" s="114" t="str">
        <f t="shared" si="32"/>
        <v/>
      </c>
      <c r="AJ95" s="116" t="str">
        <f t="shared" si="33"/>
        <v/>
      </c>
      <c r="AK95" s="98" t="str">
        <f t="shared" si="34"/>
        <v/>
      </c>
      <c r="AL95" s="123" t="e">
        <f t="shared" si="38"/>
        <v>#VALUE!</v>
      </c>
      <c r="AM95" s="17"/>
      <c r="AN95" s="17"/>
      <c r="AO95" s="17"/>
      <c r="AP95" s="17"/>
      <c r="AQ95" s="17"/>
    </row>
    <row r="96" spans="1:61" ht="15">
      <c r="A96" s="64"/>
      <c r="B96" s="121"/>
      <c r="C96" s="117"/>
      <c r="D96" s="39"/>
      <c r="E96" s="40"/>
      <c r="F96" s="41"/>
      <c r="G96" s="42"/>
      <c r="H96" s="42"/>
      <c r="I96" s="59"/>
      <c r="J96" s="43"/>
      <c r="K96" s="44"/>
      <c r="L96" s="45"/>
      <c r="M96" s="74"/>
      <c r="N96" s="55"/>
      <c r="O96" s="55"/>
      <c r="P96" s="55"/>
      <c r="Q96" s="46" t="e">
        <f t="shared" si="25"/>
        <v>#VALUE!</v>
      </c>
      <c r="R96" s="47" t="e">
        <f t="shared" si="28"/>
        <v>#VALUE!</v>
      </c>
      <c r="S96" s="48">
        <v>0.01</v>
      </c>
      <c r="T96" s="49"/>
      <c r="U96" s="56"/>
      <c r="V96" s="58"/>
      <c r="W96" s="50" t="str">
        <f t="shared" si="29"/>
        <v/>
      </c>
      <c r="X96" s="51" t="str">
        <f t="shared" si="37"/>
        <v/>
      </c>
      <c r="Y96" s="57"/>
      <c r="Z96" s="50" t="str">
        <f t="shared" si="30"/>
        <v/>
      </c>
      <c r="AA96" s="52" t="str">
        <f t="shared" si="35"/>
        <v/>
      </c>
      <c r="AB96" s="53" t="str">
        <f t="shared" si="36"/>
        <v/>
      </c>
      <c r="AC96" s="41"/>
      <c r="AD96" s="58"/>
      <c r="AE96" s="54"/>
      <c r="AF96" s="54">
        <v>0</v>
      </c>
      <c r="AG96" s="54"/>
      <c r="AH96" s="115" t="str">
        <f t="shared" si="31"/>
        <v/>
      </c>
      <c r="AI96" s="114" t="str">
        <f t="shared" si="32"/>
        <v/>
      </c>
      <c r="AJ96" s="116" t="str">
        <f t="shared" si="33"/>
        <v/>
      </c>
      <c r="AK96" s="98" t="str">
        <f t="shared" si="34"/>
        <v/>
      </c>
      <c r="AL96" s="123" t="e">
        <f t="shared" si="38"/>
        <v>#VALUE!</v>
      </c>
      <c r="AM96" s="17"/>
      <c r="AN96" s="17"/>
      <c r="AO96" s="17"/>
      <c r="AP96" s="17"/>
      <c r="AQ96" s="17"/>
    </row>
    <row r="97" spans="1:43" ht="15">
      <c r="A97" s="64"/>
      <c r="B97" s="121"/>
      <c r="C97" s="117"/>
      <c r="D97" s="39"/>
      <c r="E97" s="40"/>
      <c r="F97" s="41"/>
      <c r="G97" s="42"/>
      <c r="H97" s="42"/>
      <c r="I97" s="59"/>
      <c r="J97" s="43"/>
      <c r="K97" s="44"/>
      <c r="L97" s="45"/>
      <c r="M97" s="74"/>
      <c r="N97" s="55"/>
      <c r="O97" s="55"/>
      <c r="P97" s="55"/>
      <c r="Q97" s="46" t="e">
        <f t="shared" si="25"/>
        <v>#VALUE!</v>
      </c>
      <c r="R97" s="47" t="e">
        <f t="shared" si="28"/>
        <v>#VALUE!</v>
      </c>
      <c r="S97" s="48">
        <v>0.01</v>
      </c>
      <c r="T97" s="49"/>
      <c r="U97" s="56"/>
      <c r="V97" s="58"/>
      <c r="W97" s="50" t="str">
        <f t="shared" si="29"/>
        <v/>
      </c>
      <c r="X97" s="51" t="str">
        <f t="shared" si="37"/>
        <v/>
      </c>
      <c r="Y97" s="57"/>
      <c r="Z97" s="50" t="str">
        <f t="shared" si="30"/>
        <v/>
      </c>
      <c r="AA97" s="52" t="str">
        <f t="shared" si="35"/>
        <v/>
      </c>
      <c r="AB97" s="53" t="str">
        <f t="shared" si="36"/>
        <v/>
      </c>
      <c r="AC97" s="41"/>
      <c r="AD97" s="58"/>
      <c r="AE97" s="54"/>
      <c r="AF97" s="54">
        <v>0</v>
      </c>
      <c r="AG97" s="54"/>
      <c r="AH97" s="115" t="str">
        <f t="shared" si="31"/>
        <v/>
      </c>
      <c r="AI97" s="114" t="str">
        <f t="shared" si="32"/>
        <v/>
      </c>
      <c r="AJ97" s="116" t="str">
        <f t="shared" si="33"/>
        <v/>
      </c>
      <c r="AK97" s="98" t="str">
        <f t="shared" si="34"/>
        <v/>
      </c>
      <c r="AL97" s="123" t="e">
        <f t="shared" si="38"/>
        <v>#VALUE!</v>
      </c>
      <c r="AM97" s="17"/>
      <c r="AN97" s="17"/>
      <c r="AO97" s="17"/>
      <c r="AP97" s="17"/>
      <c r="AQ97" s="17"/>
    </row>
    <row r="98" spans="1:43" ht="15">
      <c r="A98" s="64"/>
      <c r="B98" s="121"/>
      <c r="C98" s="117"/>
      <c r="D98" s="39"/>
      <c r="E98" s="40"/>
      <c r="F98" s="41"/>
      <c r="G98" s="42"/>
      <c r="H98" s="42"/>
      <c r="I98" s="59"/>
      <c r="J98" s="43"/>
      <c r="K98" s="44"/>
      <c r="L98" s="45"/>
      <c r="M98" s="74"/>
      <c r="N98" s="55"/>
      <c r="O98" s="55"/>
      <c r="P98" s="55"/>
      <c r="Q98" s="46" t="e">
        <f t="shared" si="25"/>
        <v>#VALUE!</v>
      </c>
      <c r="R98" s="47" t="e">
        <f t="shared" si="28"/>
        <v>#VALUE!</v>
      </c>
      <c r="S98" s="48">
        <v>0.01</v>
      </c>
      <c r="T98" s="49"/>
      <c r="U98" s="56"/>
      <c r="V98" s="58"/>
      <c r="W98" s="50" t="str">
        <f t="shared" si="29"/>
        <v/>
      </c>
      <c r="X98" s="51" t="str">
        <f t="shared" si="37"/>
        <v/>
      </c>
      <c r="Y98" s="57"/>
      <c r="Z98" s="50" t="str">
        <f t="shared" si="30"/>
        <v/>
      </c>
      <c r="AA98" s="52" t="str">
        <f t="shared" si="35"/>
        <v/>
      </c>
      <c r="AB98" s="53" t="str">
        <f t="shared" si="36"/>
        <v/>
      </c>
      <c r="AC98" s="41"/>
      <c r="AD98" s="58"/>
      <c r="AE98" s="54"/>
      <c r="AF98" s="54">
        <v>0</v>
      </c>
      <c r="AG98" s="54"/>
      <c r="AH98" s="115" t="str">
        <f t="shared" si="31"/>
        <v/>
      </c>
      <c r="AI98" s="114" t="str">
        <f t="shared" si="32"/>
        <v/>
      </c>
      <c r="AJ98" s="116" t="str">
        <f t="shared" si="33"/>
        <v/>
      </c>
      <c r="AK98" s="98" t="str">
        <f t="shared" si="34"/>
        <v/>
      </c>
      <c r="AL98" s="123" t="e">
        <f t="shared" si="38"/>
        <v>#VALUE!</v>
      </c>
      <c r="AM98" s="17"/>
      <c r="AN98" s="17"/>
      <c r="AO98" s="17"/>
      <c r="AP98" s="17"/>
      <c r="AQ98" s="17"/>
    </row>
    <row r="99" spans="1:43" ht="15">
      <c r="A99" s="64"/>
      <c r="B99" s="121"/>
      <c r="C99" s="117"/>
      <c r="D99" s="39"/>
      <c r="E99" s="40"/>
      <c r="F99" s="41"/>
      <c r="G99" s="42"/>
      <c r="H99" s="42"/>
      <c r="I99" s="59"/>
      <c r="J99" s="43"/>
      <c r="K99" s="44"/>
      <c r="L99" s="45"/>
      <c r="M99" s="74"/>
      <c r="N99" s="55"/>
      <c r="O99" s="55"/>
      <c r="P99" s="55"/>
      <c r="Q99" s="46" t="e">
        <f t="shared" si="25"/>
        <v>#VALUE!</v>
      </c>
      <c r="R99" s="47" t="e">
        <f t="shared" si="28"/>
        <v>#VALUE!</v>
      </c>
      <c r="S99" s="48">
        <v>0.01</v>
      </c>
      <c r="T99" s="49"/>
      <c r="U99" s="56"/>
      <c r="V99" s="58"/>
      <c r="W99" s="50" t="str">
        <f t="shared" si="29"/>
        <v/>
      </c>
      <c r="X99" s="51" t="str">
        <f t="shared" si="37"/>
        <v/>
      </c>
      <c r="Y99" s="57"/>
      <c r="Z99" s="50" t="str">
        <f t="shared" si="30"/>
        <v/>
      </c>
      <c r="AA99" s="52" t="str">
        <f t="shared" si="35"/>
        <v/>
      </c>
      <c r="AB99" s="53" t="str">
        <f t="shared" si="36"/>
        <v/>
      </c>
      <c r="AC99" s="41"/>
      <c r="AD99" s="58"/>
      <c r="AE99" s="54"/>
      <c r="AF99" s="54">
        <v>0</v>
      </c>
      <c r="AG99" s="54"/>
      <c r="AH99" s="115" t="str">
        <f t="shared" si="31"/>
        <v/>
      </c>
      <c r="AI99" s="114" t="str">
        <f t="shared" si="32"/>
        <v/>
      </c>
      <c r="AJ99" s="116" t="str">
        <f t="shared" si="33"/>
        <v/>
      </c>
      <c r="AK99" s="98" t="str">
        <f t="shared" si="34"/>
        <v/>
      </c>
      <c r="AL99" s="123" t="e">
        <f t="shared" si="38"/>
        <v>#VALUE!</v>
      </c>
      <c r="AM99" s="17"/>
      <c r="AN99" s="17"/>
      <c r="AO99" s="17"/>
      <c r="AP99" s="17"/>
      <c r="AQ99" s="17"/>
    </row>
    <row r="100" spans="1:43" ht="15">
      <c r="A100" s="64"/>
      <c r="B100" s="121"/>
      <c r="C100" s="117"/>
      <c r="D100" s="39"/>
      <c r="E100" s="40"/>
      <c r="F100" s="41"/>
      <c r="G100" s="42"/>
      <c r="H100" s="42"/>
      <c r="I100" s="59"/>
      <c r="J100" s="43"/>
      <c r="K100" s="44"/>
      <c r="L100" s="45"/>
      <c r="M100" s="74"/>
      <c r="N100" s="55"/>
      <c r="O100" s="55"/>
      <c r="P100" s="55"/>
      <c r="Q100" s="46" t="e">
        <f t="shared" si="25"/>
        <v>#VALUE!</v>
      </c>
      <c r="R100" s="47" t="e">
        <f t="shared" si="28"/>
        <v>#VALUE!</v>
      </c>
      <c r="S100" s="48">
        <v>0.01</v>
      </c>
      <c r="T100" s="49"/>
      <c r="U100" s="56"/>
      <c r="V100" s="58"/>
      <c r="W100" s="50" t="str">
        <f t="shared" si="29"/>
        <v/>
      </c>
      <c r="X100" s="51" t="str">
        <f t="shared" si="37"/>
        <v/>
      </c>
      <c r="Y100" s="57"/>
      <c r="Z100" s="50" t="str">
        <f t="shared" si="30"/>
        <v/>
      </c>
      <c r="AA100" s="52" t="str">
        <f t="shared" si="35"/>
        <v/>
      </c>
      <c r="AB100" s="53" t="str">
        <f t="shared" si="36"/>
        <v/>
      </c>
      <c r="AC100" s="41"/>
      <c r="AD100" s="58"/>
      <c r="AE100" s="54"/>
      <c r="AF100" s="54">
        <v>0</v>
      </c>
      <c r="AG100" s="54"/>
      <c r="AH100" s="115" t="str">
        <f t="shared" si="31"/>
        <v/>
      </c>
      <c r="AI100" s="114" t="str">
        <f t="shared" si="32"/>
        <v/>
      </c>
      <c r="AJ100" s="116" t="str">
        <f t="shared" si="33"/>
        <v/>
      </c>
      <c r="AK100" s="98" t="str">
        <f t="shared" si="34"/>
        <v/>
      </c>
      <c r="AL100" s="123" t="e">
        <f t="shared" si="38"/>
        <v>#VALUE!</v>
      </c>
      <c r="AM100" s="17"/>
      <c r="AN100" s="17"/>
      <c r="AO100" s="17"/>
      <c r="AP100" s="17"/>
      <c r="AQ100" s="17"/>
    </row>
    <row r="101" spans="1:43" ht="15">
      <c r="A101" s="64"/>
      <c r="B101" s="121"/>
      <c r="C101" s="117"/>
      <c r="D101" s="39"/>
      <c r="E101" s="40"/>
      <c r="F101" s="41"/>
      <c r="G101" s="42"/>
      <c r="H101" s="42"/>
      <c r="I101" s="59"/>
      <c r="J101" s="43"/>
      <c r="K101" s="44"/>
      <c r="L101" s="45"/>
      <c r="M101" s="74"/>
      <c r="N101" s="55"/>
      <c r="O101" s="55"/>
      <c r="P101" s="55"/>
      <c r="Q101" s="46" t="e">
        <f t="shared" si="25"/>
        <v>#VALUE!</v>
      </c>
      <c r="R101" s="47" t="e">
        <f t="shared" si="28"/>
        <v>#VALUE!</v>
      </c>
      <c r="S101" s="48">
        <v>0.01</v>
      </c>
      <c r="T101" s="49"/>
      <c r="U101" s="56"/>
      <c r="V101" s="58"/>
      <c r="W101" s="50" t="str">
        <f t="shared" si="29"/>
        <v/>
      </c>
      <c r="X101" s="51" t="str">
        <f t="shared" si="37"/>
        <v/>
      </c>
      <c r="Y101" s="57"/>
      <c r="Z101" s="50" t="str">
        <f t="shared" si="30"/>
        <v/>
      </c>
      <c r="AA101" s="52" t="str">
        <f t="shared" si="35"/>
        <v/>
      </c>
      <c r="AB101" s="53" t="str">
        <f t="shared" si="36"/>
        <v/>
      </c>
      <c r="AC101" s="41"/>
      <c r="AD101" s="58"/>
      <c r="AE101" s="54"/>
      <c r="AF101" s="54">
        <v>0</v>
      </c>
      <c r="AG101" s="54"/>
      <c r="AH101" s="115" t="str">
        <f t="shared" si="31"/>
        <v/>
      </c>
      <c r="AI101" s="114" t="str">
        <f t="shared" si="32"/>
        <v/>
      </c>
      <c r="AJ101" s="116" t="str">
        <f t="shared" si="33"/>
        <v/>
      </c>
      <c r="AK101" s="98" t="str">
        <f t="shared" si="34"/>
        <v/>
      </c>
      <c r="AL101" s="123" t="e">
        <f t="shared" si="38"/>
        <v>#VALUE!</v>
      </c>
      <c r="AM101" s="17"/>
      <c r="AN101" s="17"/>
      <c r="AO101" s="17"/>
      <c r="AP101" s="17"/>
      <c r="AQ101" s="17"/>
    </row>
    <row r="102" spans="1:43" ht="15">
      <c r="A102" s="64"/>
      <c r="B102" s="122"/>
      <c r="C102" s="117"/>
      <c r="D102" s="39"/>
      <c r="E102" s="40"/>
      <c r="F102" s="41"/>
      <c r="G102" s="42"/>
      <c r="H102" s="42"/>
      <c r="I102" s="59"/>
      <c r="J102" s="43"/>
      <c r="K102" s="44"/>
      <c r="L102" s="45"/>
      <c r="M102" s="74"/>
      <c r="N102" s="55"/>
      <c r="O102" s="55"/>
      <c r="P102" s="55"/>
      <c r="Q102" s="46"/>
      <c r="R102" s="47" t="str">
        <f t="shared" si="28"/>
        <v/>
      </c>
      <c r="S102" s="48"/>
      <c r="T102" s="49"/>
      <c r="U102" s="56"/>
      <c r="V102" s="58"/>
      <c r="W102" s="50" t="str">
        <f t="shared" si="29"/>
        <v/>
      </c>
      <c r="X102" s="51" t="str">
        <f t="shared" si="37"/>
        <v/>
      </c>
      <c r="Y102" s="57"/>
      <c r="Z102" s="50" t="str">
        <f t="shared" si="30"/>
        <v/>
      </c>
      <c r="AA102" s="52" t="str">
        <f t="shared" si="35"/>
        <v/>
      </c>
      <c r="AB102" s="53" t="str">
        <f t="shared" si="36"/>
        <v/>
      </c>
      <c r="AC102" s="41"/>
      <c r="AD102" s="58"/>
      <c r="AE102" s="54"/>
      <c r="AF102" s="54"/>
      <c r="AG102" s="54"/>
      <c r="AH102" s="115" t="str">
        <f t="shared" si="31"/>
        <v/>
      </c>
      <c r="AI102" s="114" t="str">
        <f t="shared" si="32"/>
        <v/>
      </c>
      <c r="AJ102" s="116" t="str">
        <f t="shared" si="33"/>
        <v/>
      </c>
      <c r="AK102" s="98" t="str">
        <f t="shared" si="34"/>
        <v/>
      </c>
      <c r="AL102" s="79"/>
      <c r="AM102" s="17"/>
      <c r="AN102" s="17"/>
      <c r="AO102" s="17"/>
      <c r="AP102" s="17"/>
      <c r="AQ102" s="17"/>
    </row>
    <row r="103" spans="1:43" ht="15">
      <c r="A103" s="64"/>
      <c r="B103" s="122"/>
      <c r="C103" s="117"/>
      <c r="D103" s="39"/>
      <c r="E103" s="40"/>
      <c r="F103" s="41"/>
      <c r="G103" s="42"/>
      <c r="H103" s="42"/>
      <c r="I103" s="59"/>
      <c r="J103" s="43"/>
      <c r="K103" s="44"/>
      <c r="L103" s="45"/>
      <c r="M103" s="74"/>
      <c r="N103" s="55"/>
      <c r="O103" s="55"/>
      <c r="P103" s="55"/>
      <c r="Q103" s="46"/>
      <c r="R103" s="47" t="str">
        <f t="shared" si="28"/>
        <v/>
      </c>
      <c r="S103" s="48"/>
      <c r="T103" s="49"/>
      <c r="U103" s="56"/>
      <c r="V103" s="58"/>
      <c r="W103" s="50" t="str">
        <f t="shared" si="29"/>
        <v/>
      </c>
      <c r="X103" s="51" t="str">
        <f t="shared" si="37"/>
        <v/>
      </c>
      <c r="Y103" s="57"/>
      <c r="Z103" s="50" t="str">
        <f t="shared" si="30"/>
        <v/>
      </c>
      <c r="AA103" s="52" t="str">
        <f t="shared" si="35"/>
        <v/>
      </c>
      <c r="AB103" s="53" t="str">
        <f t="shared" si="36"/>
        <v/>
      </c>
      <c r="AC103" s="41"/>
      <c r="AD103" s="58"/>
      <c r="AE103" s="54"/>
      <c r="AF103" s="54"/>
      <c r="AG103" s="54"/>
      <c r="AH103" s="115" t="str">
        <f t="shared" si="31"/>
        <v/>
      </c>
      <c r="AI103" s="114" t="str">
        <f t="shared" si="32"/>
        <v/>
      </c>
      <c r="AJ103" s="116" t="str">
        <f t="shared" si="33"/>
        <v/>
      </c>
      <c r="AK103" s="98" t="str">
        <f t="shared" si="34"/>
        <v/>
      </c>
      <c r="AL103" s="101"/>
      <c r="AM103" s="17"/>
      <c r="AN103" s="17"/>
      <c r="AO103" s="17"/>
      <c r="AP103" s="17"/>
      <c r="AQ103" s="17"/>
    </row>
    <row r="104" spans="1:43" ht="15">
      <c r="A104" s="64"/>
      <c r="B104" s="122"/>
      <c r="C104" s="117"/>
      <c r="D104" s="39"/>
      <c r="E104" s="40"/>
      <c r="F104" s="41"/>
      <c r="G104" s="42"/>
      <c r="H104" s="42"/>
      <c r="I104" s="59"/>
      <c r="J104" s="43"/>
      <c r="K104" s="44"/>
      <c r="L104" s="45"/>
      <c r="M104" s="74"/>
      <c r="N104" s="55"/>
      <c r="O104" s="55"/>
      <c r="P104" s="55"/>
      <c r="Q104" s="46"/>
      <c r="R104" s="47" t="str">
        <f t="shared" si="28"/>
        <v/>
      </c>
      <c r="S104" s="48"/>
      <c r="T104" s="49"/>
      <c r="U104" s="56"/>
      <c r="V104" s="58"/>
      <c r="W104" s="50" t="str">
        <f t="shared" si="29"/>
        <v/>
      </c>
      <c r="X104" s="51" t="str">
        <f t="shared" si="37"/>
        <v/>
      </c>
      <c r="Y104" s="57"/>
      <c r="Z104" s="50" t="str">
        <f t="shared" si="30"/>
        <v/>
      </c>
      <c r="AA104" s="52" t="str">
        <f t="shared" si="35"/>
        <v/>
      </c>
      <c r="AB104" s="53" t="str">
        <f t="shared" si="36"/>
        <v/>
      </c>
      <c r="AC104" s="41"/>
      <c r="AD104" s="58"/>
      <c r="AE104" s="54"/>
      <c r="AF104" s="54"/>
      <c r="AG104" s="54"/>
      <c r="AH104" s="115" t="str">
        <f t="shared" si="31"/>
        <v/>
      </c>
      <c r="AI104" s="114" t="str">
        <f t="shared" si="32"/>
        <v/>
      </c>
      <c r="AJ104" s="116" t="str">
        <f t="shared" si="33"/>
        <v/>
      </c>
      <c r="AK104" s="98" t="str">
        <f t="shared" si="34"/>
        <v/>
      </c>
      <c r="AL104" s="101"/>
      <c r="AM104" s="17"/>
      <c r="AN104" s="17"/>
      <c r="AO104" s="17"/>
      <c r="AP104" s="17"/>
      <c r="AQ104" s="17"/>
    </row>
    <row r="105" spans="1:43" ht="15">
      <c r="A105" s="64"/>
      <c r="B105" s="122"/>
      <c r="C105" s="117"/>
      <c r="D105" s="39"/>
      <c r="E105" s="40"/>
      <c r="F105" s="41"/>
      <c r="G105" s="42"/>
      <c r="H105" s="42"/>
      <c r="I105" s="59"/>
      <c r="J105" s="43"/>
      <c r="K105" s="44"/>
      <c r="L105" s="45"/>
      <c r="M105" s="74"/>
      <c r="N105" s="55"/>
      <c r="O105" s="55"/>
      <c r="P105" s="55"/>
      <c r="Q105" s="46"/>
      <c r="R105" s="47" t="str">
        <f t="shared" si="28"/>
        <v/>
      </c>
      <c r="S105" s="48"/>
      <c r="T105" s="49"/>
      <c r="U105" s="56"/>
      <c r="V105" s="58"/>
      <c r="W105" s="50" t="str">
        <f t="shared" si="29"/>
        <v/>
      </c>
      <c r="X105" s="51" t="str">
        <f t="shared" si="37"/>
        <v/>
      </c>
      <c r="Y105" s="57"/>
      <c r="Z105" s="50" t="str">
        <f t="shared" si="30"/>
        <v/>
      </c>
      <c r="AA105" s="52" t="str">
        <f t="shared" si="35"/>
        <v/>
      </c>
      <c r="AB105" s="53" t="str">
        <f t="shared" si="36"/>
        <v/>
      </c>
      <c r="AC105" s="41"/>
      <c r="AD105" s="58"/>
      <c r="AE105" s="54"/>
      <c r="AF105" s="54"/>
      <c r="AG105" s="54"/>
      <c r="AH105" s="115" t="str">
        <f t="shared" si="31"/>
        <v/>
      </c>
      <c r="AI105" s="114" t="str">
        <f t="shared" si="32"/>
        <v/>
      </c>
      <c r="AJ105" s="116" t="str">
        <f t="shared" si="33"/>
        <v/>
      </c>
      <c r="AK105" s="98" t="str">
        <f t="shared" si="34"/>
        <v/>
      </c>
      <c r="AL105" s="79"/>
      <c r="AM105" s="17"/>
      <c r="AN105" s="17"/>
      <c r="AO105" s="17"/>
      <c r="AP105" s="17"/>
      <c r="AQ105" s="17"/>
    </row>
    <row r="106" spans="1:43" ht="15">
      <c r="A106" s="64"/>
      <c r="B106" s="122"/>
      <c r="C106" s="117"/>
      <c r="D106" s="39"/>
      <c r="E106" s="40"/>
      <c r="F106" s="41"/>
      <c r="G106" s="42"/>
      <c r="H106" s="42"/>
      <c r="I106" s="59"/>
      <c r="J106" s="43"/>
      <c r="K106" s="44"/>
      <c r="L106" s="45"/>
      <c r="M106" s="74"/>
      <c r="N106" s="55"/>
      <c r="O106" s="55"/>
      <c r="P106" s="55"/>
      <c r="Q106" s="46"/>
      <c r="R106" s="47" t="str">
        <f t="shared" si="28"/>
        <v/>
      </c>
      <c r="S106" s="48"/>
      <c r="T106" s="49"/>
      <c r="U106" s="56"/>
      <c r="V106" s="58"/>
      <c r="W106" s="50" t="str">
        <f t="shared" si="29"/>
        <v/>
      </c>
      <c r="X106" s="51" t="str">
        <f t="shared" si="37"/>
        <v/>
      </c>
      <c r="Y106" s="57"/>
      <c r="Z106" s="50" t="str">
        <f t="shared" si="30"/>
        <v/>
      </c>
      <c r="AA106" s="52" t="str">
        <f t="shared" si="35"/>
        <v/>
      </c>
      <c r="AB106" s="53" t="str">
        <f t="shared" si="36"/>
        <v/>
      </c>
      <c r="AC106" s="41"/>
      <c r="AD106" s="58"/>
      <c r="AE106" s="54"/>
      <c r="AF106" s="54"/>
      <c r="AG106" s="54"/>
      <c r="AH106" s="115" t="str">
        <f t="shared" si="31"/>
        <v/>
      </c>
      <c r="AI106" s="114" t="str">
        <f t="shared" si="32"/>
        <v/>
      </c>
      <c r="AJ106" s="116" t="str">
        <f t="shared" si="33"/>
        <v/>
      </c>
      <c r="AK106" s="98" t="str">
        <f t="shared" si="34"/>
        <v/>
      </c>
      <c r="AL106" s="101"/>
      <c r="AM106" s="17"/>
      <c r="AN106" s="17"/>
      <c r="AO106" s="17"/>
      <c r="AP106" s="17"/>
      <c r="AQ106" s="17"/>
    </row>
    <row r="107" spans="1:43" ht="15">
      <c r="A107" s="64"/>
      <c r="B107" s="122"/>
      <c r="C107" s="117"/>
      <c r="D107" s="39"/>
      <c r="E107" s="40"/>
      <c r="F107" s="41"/>
      <c r="G107" s="42"/>
      <c r="H107" s="42"/>
      <c r="I107" s="59"/>
      <c r="J107" s="43"/>
      <c r="K107" s="44"/>
      <c r="L107" s="45"/>
      <c r="M107" s="74"/>
      <c r="N107" s="55"/>
      <c r="O107" s="55"/>
      <c r="P107" s="55"/>
      <c r="Q107" s="46"/>
      <c r="R107" s="47" t="str">
        <f t="shared" si="28"/>
        <v/>
      </c>
      <c r="S107" s="48"/>
      <c r="T107" s="49"/>
      <c r="U107" s="56"/>
      <c r="V107" s="58"/>
      <c r="W107" s="50" t="str">
        <f t="shared" si="29"/>
        <v/>
      </c>
      <c r="X107" s="51" t="str">
        <f t="shared" si="37"/>
        <v/>
      </c>
      <c r="Y107" s="57"/>
      <c r="Z107" s="50" t="str">
        <f t="shared" si="30"/>
        <v/>
      </c>
      <c r="AA107" s="52" t="str">
        <f t="shared" si="35"/>
        <v/>
      </c>
      <c r="AB107" s="53" t="str">
        <f t="shared" si="36"/>
        <v/>
      </c>
      <c r="AC107" s="41"/>
      <c r="AD107" s="58"/>
      <c r="AE107" s="54"/>
      <c r="AF107" s="54"/>
      <c r="AG107" s="54"/>
      <c r="AH107" s="115" t="str">
        <f t="shared" si="31"/>
        <v/>
      </c>
      <c r="AI107" s="114" t="str">
        <f t="shared" si="32"/>
        <v/>
      </c>
      <c r="AJ107" s="116" t="str">
        <f t="shared" si="33"/>
        <v/>
      </c>
      <c r="AK107" s="98" t="str">
        <f t="shared" si="34"/>
        <v/>
      </c>
      <c r="AL107" s="101"/>
      <c r="AM107" s="17"/>
      <c r="AN107" s="17"/>
      <c r="AO107" s="17"/>
      <c r="AP107" s="17"/>
      <c r="AQ107" s="17"/>
    </row>
    <row r="108" spans="1:43" ht="15">
      <c r="A108" s="64"/>
      <c r="B108" s="122"/>
      <c r="C108" s="117"/>
      <c r="D108" s="39"/>
      <c r="E108" s="40"/>
      <c r="F108" s="41"/>
      <c r="G108" s="42"/>
      <c r="H108" s="42"/>
      <c r="I108" s="59"/>
      <c r="J108" s="43"/>
      <c r="K108" s="44"/>
      <c r="L108" s="45"/>
      <c r="M108" s="74"/>
      <c r="N108" s="55"/>
      <c r="O108" s="55"/>
      <c r="P108" s="55"/>
      <c r="Q108" s="46"/>
      <c r="R108" s="47" t="str">
        <f t="shared" si="28"/>
        <v/>
      </c>
      <c r="S108" s="48"/>
      <c r="T108" s="49"/>
      <c r="U108" s="56"/>
      <c r="V108" s="58"/>
      <c r="W108" s="50" t="str">
        <f t="shared" si="29"/>
        <v/>
      </c>
      <c r="X108" s="51" t="str">
        <f t="shared" si="37"/>
        <v/>
      </c>
      <c r="Y108" s="57"/>
      <c r="Z108" s="50" t="str">
        <f t="shared" si="30"/>
        <v/>
      </c>
      <c r="AA108" s="52" t="str">
        <f t="shared" si="35"/>
        <v/>
      </c>
      <c r="AB108" s="53" t="str">
        <f t="shared" si="36"/>
        <v/>
      </c>
      <c r="AC108" s="41"/>
      <c r="AD108" s="58"/>
      <c r="AE108" s="54"/>
      <c r="AF108" s="54"/>
      <c r="AG108" s="54"/>
      <c r="AH108" s="115" t="str">
        <f t="shared" si="31"/>
        <v/>
      </c>
      <c r="AI108" s="114" t="str">
        <f t="shared" si="32"/>
        <v/>
      </c>
      <c r="AJ108" s="116" t="str">
        <f t="shared" si="33"/>
        <v/>
      </c>
      <c r="AK108" s="98" t="str">
        <f t="shared" si="34"/>
        <v/>
      </c>
      <c r="AL108" s="101"/>
      <c r="AM108" s="17"/>
      <c r="AN108" s="17"/>
      <c r="AO108" s="17"/>
      <c r="AP108" s="17"/>
      <c r="AQ108" s="17"/>
    </row>
    <row r="109" spans="1:43" ht="15">
      <c r="A109" s="64"/>
      <c r="B109" s="122"/>
      <c r="C109" s="117"/>
      <c r="D109" s="39"/>
      <c r="E109" s="40"/>
      <c r="F109" s="41"/>
      <c r="G109" s="42"/>
      <c r="H109" s="42"/>
      <c r="I109" s="59"/>
      <c r="J109" s="43"/>
      <c r="K109" s="44"/>
      <c r="L109" s="45"/>
      <c r="M109" s="74"/>
      <c r="N109" s="55"/>
      <c r="O109" s="55"/>
      <c r="P109" s="55"/>
      <c r="Q109" s="46"/>
      <c r="R109" s="47" t="str">
        <f t="shared" si="28"/>
        <v/>
      </c>
      <c r="S109" s="48"/>
      <c r="T109" s="49"/>
      <c r="U109" s="56"/>
      <c r="V109" s="58"/>
      <c r="W109" s="50" t="str">
        <f t="shared" si="29"/>
        <v/>
      </c>
      <c r="X109" s="51" t="str">
        <f t="shared" si="37"/>
        <v/>
      </c>
      <c r="Y109" s="57"/>
      <c r="Z109" s="50" t="str">
        <f t="shared" si="30"/>
        <v/>
      </c>
      <c r="AA109" s="52" t="str">
        <f t="shared" si="35"/>
        <v/>
      </c>
      <c r="AB109" s="53" t="str">
        <f t="shared" si="36"/>
        <v/>
      </c>
      <c r="AC109" s="41"/>
      <c r="AD109" s="58"/>
      <c r="AE109" s="54"/>
      <c r="AF109" s="54"/>
      <c r="AG109" s="54"/>
      <c r="AH109" s="115" t="str">
        <f t="shared" si="31"/>
        <v/>
      </c>
      <c r="AI109" s="114" t="str">
        <f t="shared" si="32"/>
        <v/>
      </c>
      <c r="AJ109" s="116" t="str">
        <f t="shared" si="33"/>
        <v/>
      </c>
      <c r="AK109" s="98" t="str">
        <f t="shared" si="34"/>
        <v/>
      </c>
      <c r="AL109" s="101"/>
      <c r="AM109" s="17"/>
      <c r="AN109" s="17"/>
      <c r="AO109" s="17"/>
      <c r="AP109" s="17"/>
      <c r="AQ109" s="17"/>
    </row>
    <row r="110" spans="1:43" ht="15">
      <c r="A110" s="64"/>
      <c r="B110" s="122"/>
      <c r="C110" s="117"/>
      <c r="D110" s="39"/>
      <c r="E110" s="40"/>
      <c r="F110" s="41"/>
      <c r="G110" s="42"/>
      <c r="H110" s="42"/>
      <c r="I110" s="59"/>
      <c r="J110" s="43"/>
      <c r="K110" s="44"/>
      <c r="L110" s="45"/>
      <c r="M110" s="74"/>
      <c r="N110" s="55"/>
      <c r="O110" s="55"/>
      <c r="P110" s="55"/>
      <c r="Q110" s="46"/>
      <c r="R110" s="47" t="str">
        <f t="shared" si="28"/>
        <v/>
      </c>
      <c r="S110" s="48"/>
      <c r="T110" s="49"/>
      <c r="U110" s="56"/>
      <c r="V110" s="58"/>
      <c r="W110" s="50" t="str">
        <f t="shared" si="29"/>
        <v/>
      </c>
      <c r="X110" s="51" t="str">
        <f t="shared" si="37"/>
        <v/>
      </c>
      <c r="Y110" s="57"/>
      <c r="Z110" s="50" t="str">
        <f t="shared" si="30"/>
        <v/>
      </c>
      <c r="AA110" s="52" t="str">
        <f t="shared" si="35"/>
        <v/>
      </c>
      <c r="AB110" s="53" t="str">
        <f t="shared" si="36"/>
        <v/>
      </c>
      <c r="AC110" s="41"/>
      <c r="AD110" s="58"/>
      <c r="AE110" s="54"/>
      <c r="AF110" s="54"/>
      <c r="AG110" s="54"/>
      <c r="AH110" s="115" t="str">
        <f t="shared" si="31"/>
        <v/>
      </c>
      <c r="AI110" s="114" t="str">
        <f t="shared" si="32"/>
        <v/>
      </c>
      <c r="AJ110" s="116" t="str">
        <f t="shared" si="33"/>
        <v/>
      </c>
      <c r="AK110" s="98" t="str">
        <f t="shared" si="34"/>
        <v/>
      </c>
      <c r="AL110" s="101"/>
      <c r="AM110" s="17"/>
      <c r="AN110" s="17"/>
      <c r="AO110" s="17"/>
      <c r="AP110" s="17"/>
      <c r="AQ110" s="17"/>
    </row>
    <row r="111" spans="1:43" ht="15">
      <c r="A111" s="64"/>
      <c r="B111" s="122"/>
      <c r="C111" s="117"/>
      <c r="D111" s="39"/>
      <c r="E111" s="40"/>
      <c r="F111" s="41"/>
      <c r="G111" s="42"/>
      <c r="H111" s="42"/>
      <c r="I111" s="59"/>
      <c r="J111" s="43"/>
      <c r="K111" s="44"/>
      <c r="L111" s="45"/>
      <c r="M111" s="74"/>
      <c r="N111" s="55"/>
      <c r="O111" s="55"/>
      <c r="P111" s="55"/>
      <c r="Q111" s="46"/>
      <c r="R111" s="47" t="str">
        <f t="shared" si="28"/>
        <v/>
      </c>
      <c r="S111" s="48"/>
      <c r="T111" s="49"/>
      <c r="U111" s="56"/>
      <c r="V111" s="58"/>
      <c r="W111" s="50" t="str">
        <f t="shared" si="29"/>
        <v/>
      </c>
      <c r="X111" s="51" t="str">
        <f t="shared" si="37"/>
        <v/>
      </c>
      <c r="Y111" s="57"/>
      <c r="Z111" s="50" t="str">
        <f t="shared" si="30"/>
        <v/>
      </c>
      <c r="AA111" s="52" t="str">
        <f t="shared" si="35"/>
        <v/>
      </c>
      <c r="AB111" s="53" t="str">
        <f t="shared" si="36"/>
        <v/>
      </c>
      <c r="AC111" s="41"/>
      <c r="AD111" s="58"/>
      <c r="AE111" s="54"/>
      <c r="AF111" s="54"/>
      <c r="AG111" s="54"/>
      <c r="AH111" s="115" t="str">
        <f t="shared" si="31"/>
        <v/>
      </c>
      <c r="AI111" s="114" t="str">
        <f t="shared" si="32"/>
        <v/>
      </c>
      <c r="AJ111" s="116" t="str">
        <f t="shared" si="33"/>
        <v/>
      </c>
      <c r="AK111" s="98" t="str">
        <f t="shared" si="34"/>
        <v/>
      </c>
      <c r="AL111" s="79"/>
      <c r="AM111" s="17"/>
      <c r="AN111" s="17"/>
      <c r="AO111" s="17"/>
      <c r="AP111" s="17"/>
      <c r="AQ111" s="17"/>
    </row>
    <row r="112" spans="1:43" ht="15">
      <c r="A112" s="64"/>
      <c r="B112" s="122"/>
      <c r="C112" s="117"/>
      <c r="D112" s="39"/>
      <c r="E112" s="40"/>
      <c r="F112" s="41"/>
      <c r="G112" s="42"/>
      <c r="H112" s="42"/>
      <c r="I112" s="59"/>
      <c r="J112" s="43"/>
      <c r="K112" s="44"/>
      <c r="L112" s="45"/>
      <c r="M112" s="74"/>
      <c r="N112" s="55"/>
      <c r="O112" s="55"/>
      <c r="P112" s="55"/>
      <c r="Q112" s="46"/>
      <c r="R112" s="47" t="str">
        <f t="shared" si="28"/>
        <v/>
      </c>
      <c r="S112" s="48"/>
      <c r="T112" s="49"/>
      <c r="U112" s="56"/>
      <c r="V112" s="58"/>
      <c r="W112" s="50" t="str">
        <f t="shared" si="29"/>
        <v/>
      </c>
      <c r="X112" s="51" t="str">
        <f t="shared" si="37"/>
        <v/>
      </c>
      <c r="Y112" s="57"/>
      <c r="Z112" s="50" t="str">
        <f t="shared" si="30"/>
        <v/>
      </c>
      <c r="AA112" s="52" t="str">
        <f t="shared" si="35"/>
        <v/>
      </c>
      <c r="AB112" s="53" t="str">
        <f t="shared" si="36"/>
        <v/>
      </c>
      <c r="AC112" s="41"/>
      <c r="AD112" s="58"/>
      <c r="AE112" s="54"/>
      <c r="AF112" s="54"/>
      <c r="AG112" s="54"/>
      <c r="AH112" s="115" t="str">
        <f t="shared" si="31"/>
        <v/>
      </c>
      <c r="AI112" s="114" t="str">
        <f t="shared" si="32"/>
        <v/>
      </c>
      <c r="AJ112" s="116" t="str">
        <f t="shared" si="33"/>
        <v/>
      </c>
      <c r="AK112" s="98" t="str">
        <f t="shared" si="34"/>
        <v/>
      </c>
      <c r="AL112" s="101"/>
      <c r="AM112" s="17"/>
      <c r="AN112" s="17"/>
      <c r="AO112" s="17"/>
      <c r="AP112" s="17"/>
      <c r="AQ112" s="17"/>
    </row>
    <row r="113" spans="1:43" ht="15">
      <c r="A113" s="64"/>
      <c r="B113" s="122"/>
      <c r="C113" s="117"/>
      <c r="D113" s="39"/>
      <c r="E113" s="40"/>
      <c r="F113" s="41"/>
      <c r="G113" s="42"/>
      <c r="H113" s="42"/>
      <c r="I113" s="59"/>
      <c r="J113" s="43"/>
      <c r="K113" s="44"/>
      <c r="L113" s="45"/>
      <c r="M113" s="74"/>
      <c r="N113" s="55"/>
      <c r="O113" s="55"/>
      <c r="P113" s="55"/>
      <c r="Q113" s="46"/>
      <c r="R113" s="47" t="str">
        <f t="shared" si="28"/>
        <v/>
      </c>
      <c r="S113" s="48"/>
      <c r="T113" s="49"/>
      <c r="U113" s="56"/>
      <c r="V113" s="58"/>
      <c r="W113" s="50" t="str">
        <f t="shared" si="29"/>
        <v/>
      </c>
      <c r="X113" s="51" t="str">
        <f t="shared" si="37"/>
        <v/>
      </c>
      <c r="Y113" s="57"/>
      <c r="Z113" s="50" t="str">
        <f t="shared" si="30"/>
        <v/>
      </c>
      <c r="AA113" s="52" t="str">
        <f t="shared" si="35"/>
        <v/>
      </c>
      <c r="AB113" s="53" t="str">
        <f t="shared" si="36"/>
        <v/>
      </c>
      <c r="AC113" s="41"/>
      <c r="AD113" s="58"/>
      <c r="AE113" s="54"/>
      <c r="AF113" s="54"/>
      <c r="AG113" s="54"/>
      <c r="AH113" s="115" t="str">
        <f t="shared" si="31"/>
        <v/>
      </c>
      <c r="AI113" s="114" t="str">
        <f t="shared" si="32"/>
        <v/>
      </c>
      <c r="AJ113" s="116" t="str">
        <f t="shared" si="33"/>
        <v/>
      </c>
      <c r="AK113" s="98" t="str">
        <f t="shared" si="34"/>
        <v/>
      </c>
      <c r="AL113" s="79"/>
      <c r="AM113" s="17"/>
      <c r="AN113" s="17"/>
      <c r="AO113" s="17"/>
      <c r="AP113" s="17"/>
      <c r="AQ113" s="17"/>
    </row>
    <row r="114" spans="1:43" ht="15">
      <c r="A114" s="64"/>
      <c r="B114" s="122"/>
      <c r="C114" s="117"/>
      <c r="D114" s="39"/>
      <c r="E114" s="40"/>
      <c r="F114" s="41"/>
      <c r="G114" s="42"/>
      <c r="H114" s="42"/>
      <c r="I114" s="59"/>
      <c r="J114" s="43"/>
      <c r="K114" s="44"/>
      <c r="L114" s="45"/>
      <c r="M114" s="74"/>
      <c r="N114" s="55"/>
      <c r="O114" s="55"/>
      <c r="P114" s="55"/>
      <c r="Q114" s="46"/>
      <c r="R114" s="47" t="str">
        <f t="shared" si="28"/>
        <v/>
      </c>
      <c r="S114" s="48"/>
      <c r="T114" s="49"/>
      <c r="U114" s="56"/>
      <c r="V114" s="58"/>
      <c r="W114" s="50" t="str">
        <f t="shared" si="29"/>
        <v/>
      </c>
      <c r="X114" s="51" t="str">
        <f t="shared" si="37"/>
        <v/>
      </c>
      <c r="Y114" s="57"/>
      <c r="Z114" s="50" t="str">
        <f t="shared" si="30"/>
        <v/>
      </c>
      <c r="AA114" s="52" t="str">
        <f t="shared" si="35"/>
        <v/>
      </c>
      <c r="AB114" s="53" t="str">
        <f t="shared" si="36"/>
        <v/>
      </c>
      <c r="AC114" s="41"/>
      <c r="AD114" s="58"/>
      <c r="AE114" s="54"/>
      <c r="AF114" s="54"/>
      <c r="AG114" s="54"/>
      <c r="AH114" s="115" t="str">
        <f t="shared" si="31"/>
        <v/>
      </c>
      <c r="AI114" s="114" t="str">
        <f t="shared" si="32"/>
        <v/>
      </c>
      <c r="AJ114" s="116" t="str">
        <f t="shared" si="33"/>
        <v/>
      </c>
      <c r="AK114" s="98" t="str">
        <f t="shared" si="34"/>
        <v/>
      </c>
      <c r="AL114" s="101"/>
      <c r="AM114" s="17"/>
      <c r="AN114" s="17"/>
      <c r="AO114" s="17"/>
      <c r="AP114" s="17"/>
      <c r="AQ114" s="17"/>
    </row>
    <row r="115" spans="1:43" ht="15">
      <c r="A115" s="64"/>
      <c r="B115" s="122"/>
      <c r="C115" s="117"/>
      <c r="D115" s="39"/>
      <c r="E115" s="40"/>
      <c r="F115" s="41"/>
      <c r="G115" s="42"/>
      <c r="H115" s="42"/>
      <c r="I115" s="59"/>
      <c r="J115" s="43"/>
      <c r="K115" s="44"/>
      <c r="L115" s="45"/>
      <c r="M115" s="74"/>
      <c r="N115" s="55"/>
      <c r="O115" s="55"/>
      <c r="P115" s="55"/>
      <c r="Q115" s="46"/>
      <c r="R115" s="47" t="str">
        <f t="shared" si="28"/>
        <v/>
      </c>
      <c r="S115" s="48"/>
      <c r="T115" s="49"/>
      <c r="U115" s="56"/>
      <c r="V115" s="58"/>
      <c r="W115" s="50" t="str">
        <f t="shared" si="29"/>
        <v/>
      </c>
      <c r="X115" s="51" t="str">
        <f t="shared" si="37"/>
        <v/>
      </c>
      <c r="Y115" s="57"/>
      <c r="Z115" s="50" t="str">
        <f t="shared" si="30"/>
        <v/>
      </c>
      <c r="AA115" s="52" t="str">
        <f t="shared" si="35"/>
        <v/>
      </c>
      <c r="AB115" s="53" t="str">
        <f t="shared" si="36"/>
        <v/>
      </c>
      <c r="AC115" s="41"/>
      <c r="AD115" s="58"/>
      <c r="AE115" s="54"/>
      <c r="AF115" s="54"/>
      <c r="AG115" s="54"/>
      <c r="AH115" s="115" t="str">
        <f t="shared" si="31"/>
        <v/>
      </c>
      <c r="AI115" s="114" t="str">
        <f t="shared" si="32"/>
        <v/>
      </c>
      <c r="AJ115" s="116" t="str">
        <f t="shared" si="33"/>
        <v/>
      </c>
      <c r="AK115" s="98" t="str">
        <f t="shared" si="34"/>
        <v/>
      </c>
      <c r="AL115" s="101"/>
      <c r="AM115" s="17"/>
      <c r="AN115" s="17"/>
      <c r="AO115" s="17"/>
      <c r="AP115" s="17"/>
      <c r="AQ115" s="17"/>
    </row>
    <row r="116" spans="1:43" ht="15">
      <c r="A116" s="64"/>
      <c r="B116" s="122"/>
      <c r="C116" s="117"/>
      <c r="D116" s="39"/>
      <c r="E116" s="40"/>
      <c r="F116" s="41"/>
      <c r="G116" s="42"/>
      <c r="H116" s="42"/>
      <c r="I116" s="59"/>
      <c r="J116" s="43"/>
      <c r="K116" s="44"/>
      <c r="L116" s="45"/>
      <c r="M116" s="74"/>
      <c r="N116" s="55"/>
      <c r="O116" s="55"/>
      <c r="P116" s="55"/>
      <c r="Q116" s="46"/>
      <c r="R116" s="47" t="str">
        <f t="shared" si="28"/>
        <v/>
      </c>
      <c r="S116" s="48"/>
      <c r="T116" s="49"/>
      <c r="U116" s="56"/>
      <c r="V116" s="58"/>
      <c r="W116" s="50" t="str">
        <f t="shared" si="29"/>
        <v/>
      </c>
      <c r="X116" s="51" t="str">
        <f t="shared" si="37"/>
        <v/>
      </c>
      <c r="Y116" s="57"/>
      <c r="Z116" s="50" t="str">
        <f t="shared" si="30"/>
        <v/>
      </c>
      <c r="AA116" s="52" t="str">
        <f t="shared" si="35"/>
        <v/>
      </c>
      <c r="AB116" s="53" t="str">
        <f t="shared" si="36"/>
        <v/>
      </c>
      <c r="AC116" s="41"/>
      <c r="AD116" s="58"/>
      <c r="AE116" s="54"/>
      <c r="AF116" s="54"/>
      <c r="AG116" s="54"/>
      <c r="AH116" s="115" t="str">
        <f t="shared" si="31"/>
        <v/>
      </c>
      <c r="AI116" s="114" t="str">
        <f t="shared" si="32"/>
        <v/>
      </c>
      <c r="AJ116" s="116" t="str">
        <f t="shared" si="33"/>
        <v/>
      </c>
      <c r="AK116" s="98" t="str">
        <f t="shared" si="34"/>
        <v/>
      </c>
      <c r="AL116" s="101"/>
      <c r="AM116" s="17"/>
      <c r="AN116" s="17"/>
      <c r="AO116" s="17"/>
      <c r="AP116" s="17"/>
      <c r="AQ116" s="17"/>
    </row>
    <row r="117" spans="1:43" ht="15">
      <c r="A117" s="64"/>
      <c r="B117" s="122"/>
      <c r="C117" s="117"/>
      <c r="D117" s="39"/>
      <c r="E117" s="40"/>
      <c r="F117" s="41"/>
      <c r="G117" s="42"/>
      <c r="H117" s="42"/>
      <c r="I117" s="59"/>
      <c r="J117" s="43"/>
      <c r="K117" s="44"/>
      <c r="L117" s="45"/>
      <c r="M117" s="74"/>
      <c r="N117" s="55"/>
      <c r="O117" s="55"/>
      <c r="P117" s="55"/>
      <c r="Q117" s="46"/>
      <c r="R117" s="47" t="str">
        <f t="shared" si="28"/>
        <v/>
      </c>
      <c r="S117" s="48"/>
      <c r="T117" s="49"/>
      <c r="U117" s="56"/>
      <c r="V117" s="58"/>
      <c r="W117" s="50" t="str">
        <f t="shared" si="29"/>
        <v/>
      </c>
      <c r="X117" s="51" t="str">
        <f t="shared" si="37"/>
        <v/>
      </c>
      <c r="Y117" s="57"/>
      <c r="Z117" s="50" t="str">
        <f t="shared" si="30"/>
        <v/>
      </c>
      <c r="AA117" s="52" t="str">
        <f t="shared" si="35"/>
        <v/>
      </c>
      <c r="AB117" s="53" t="str">
        <f t="shared" si="36"/>
        <v/>
      </c>
      <c r="AC117" s="41"/>
      <c r="AD117" s="58"/>
      <c r="AE117" s="54"/>
      <c r="AF117" s="54"/>
      <c r="AG117" s="54"/>
      <c r="AH117" s="115" t="str">
        <f t="shared" si="31"/>
        <v/>
      </c>
      <c r="AI117" s="114" t="str">
        <f t="shared" si="32"/>
        <v/>
      </c>
      <c r="AJ117" s="116" t="str">
        <f t="shared" si="33"/>
        <v/>
      </c>
      <c r="AK117" s="98" t="str">
        <f t="shared" si="34"/>
        <v/>
      </c>
      <c r="AL117" s="101"/>
      <c r="AM117" s="17"/>
      <c r="AN117" s="17"/>
      <c r="AO117" s="17"/>
      <c r="AP117" s="17"/>
      <c r="AQ117" s="17"/>
    </row>
    <row r="118" spans="1:43" ht="15">
      <c r="A118" s="64"/>
      <c r="B118" s="122"/>
      <c r="C118" s="117"/>
      <c r="D118" s="39"/>
      <c r="E118" s="40"/>
      <c r="F118" s="41"/>
      <c r="G118" s="42"/>
      <c r="H118" s="42"/>
      <c r="I118" s="59"/>
      <c r="J118" s="43"/>
      <c r="K118" s="44"/>
      <c r="L118" s="45"/>
      <c r="M118" s="74"/>
      <c r="N118" s="55"/>
      <c r="O118" s="55"/>
      <c r="P118" s="55"/>
      <c r="Q118" s="46"/>
      <c r="R118" s="47" t="str">
        <f t="shared" si="28"/>
        <v/>
      </c>
      <c r="S118" s="48"/>
      <c r="T118" s="49"/>
      <c r="U118" s="56"/>
      <c r="V118" s="58"/>
      <c r="W118" s="50" t="str">
        <f t="shared" si="29"/>
        <v/>
      </c>
      <c r="X118" s="51" t="str">
        <f t="shared" si="37"/>
        <v/>
      </c>
      <c r="Y118" s="57"/>
      <c r="Z118" s="50" t="str">
        <f t="shared" si="30"/>
        <v/>
      </c>
      <c r="AA118" s="52" t="str">
        <f t="shared" si="35"/>
        <v/>
      </c>
      <c r="AB118" s="53" t="str">
        <f t="shared" si="36"/>
        <v/>
      </c>
      <c r="AC118" s="41"/>
      <c r="AD118" s="58"/>
      <c r="AE118" s="54"/>
      <c r="AF118" s="54"/>
      <c r="AG118" s="54"/>
      <c r="AH118" s="115" t="str">
        <f t="shared" si="31"/>
        <v/>
      </c>
      <c r="AI118" s="114" t="str">
        <f t="shared" si="32"/>
        <v/>
      </c>
      <c r="AJ118" s="116" t="str">
        <f t="shared" si="33"/>
        <v/>
      </c>
      <c r="AK118" s="98" t="str">
        <f t="shared" si="34"/>
        <v/>
      </c>
      <c r="AL118" s="79"/>
      <c r="AM118" s="17"/>
      <c r="AN118" s="17"/>
      <c r="AO118" s="17"/>
      <c r="AP118" s="17"/>
      <c r="AQ118" s="17"/>
    </row>
    <row r="119" spans="1:43" ht="15">
      <c r="A119" s="64"/>
      <c r="B119" s="122"/>
      <c r="C119" s="117"/>
      <c r="D119" s="39"/>
      <c r="E119" s="40"/>
      <c r="F119" s="41"/>
      <c r="G119" s="42"/>
      <c r="H119" s="42"/>
      <c r="I119" s="59"/>
      <c r="J119" s="43"/>
      <c r="K119" s="44"/>
      <c r="L119" s="45"/>
      <c r="M119" s="74"/>
      <c r="N119" s="55"/>
      <c r="O119" s="55"/>
      <c r="P119" s="55"/>
      <c r="Q119" s="46"/>
      <c r="R119" s="47" t="str">
        <f t="shared" si="28"/>
        <v/>
      </c>
      <c r="S119" s="48"/>
      <c r="T119" s="49"/>
      <c r="U119" s="56"/>
      <c r="V119" s="58"/>
      <c r="W119" s="50" t="str">
        <f t="shared" si="29"/>
        <v/>
      </c>
      <c r="X119" s="51" t="str">
        <f t="shared" si="37"/>
        <v/>
      </c>
      <c r="Y119" s="57"/>
      <c r="Z119" s="50" t="str">
        <f t="shared" si="30"/>
        <v/>
      </c>
      <c r="AA119" s="52" t="str">
        <f t="shared" si="35"/>
        <v/>
      </c>
      <c r="AB119" s="53" t="str">
        <f t="shared" si="36"/>
        <v/>
      </c>
      <c r="AC119" s="41"/>
      <c r="AD119" s="58"/>
      <c r="AE119" s="54"/>
      <c r="AF119" s="54"/>
      <c r="AG119" s="54"/>
      <c r="AH119" s="115" t="str">
        <f t="shared" si="31"/>
        <v/>
      </c>
      <c r="AI119" s="114" t="str">
        <f t="shared" si="32"/>
        <v/>
      </c>
      <c r="AJ119" s="116" t="str">
        <f t="shared" si="33"/>
        <v/>
      </c>
      <c r="AK119" s="98" t="str">
        <f t="shared" si="34"/>
        <v/>
      </c>
      <c r="AL119" s="79"/>
      <c r="AM119" s="17"/>
      <c r="AN119" s="17"/>
      <c r="AO119" s="17"/>
      <c r="AP119" s="17"/>
      <c r="AQ119" s="17"/>
    </row>
    <row r="120" spans="1:43" ht="15">
      <c r="A120" s="64"/>
      <c r="B120" s="122"/>
      <c r="C120" s="117"/>
      <c r="D120" s="39"/>
      <c r="E120" s="40"/>
      <c r="F120" s="41"/>
      <c r="G120" s="42"/>
      <c r="H120" s="42"/>
      <c r="I120" s="59"/>
      <c r="J120" s="43"/>
      <c r="K120" s="44"/>
      <c r="L120" s="45"/>
      <c r="M120" s="74"/>
      <c r="N120" s="55"/>
      <c r="O120" s="55"/>
      <c r="P120" s="55"/>
      <c r="Q120" s="46"/>
      <c r="R120" s="47" t="str">
        <f t="shared" si="28"/>
        <v/>
      </c>
      <c r="S120" s="48"/>
      <c r="T120" s="49"/>
      <c r="U120" s="56"/>
      <c r="V120" s="58"/>
      <c r="W120" s="50" t="str">
        <f t="shared" si="29"/>
        <v/>
      </c>
      <c r="X120" s="51" t="str">
        <f t="shared" si="37"/>
        <v/>
      </c>
      <c r="Y120" s="57"/>
      <c r="Z120" s="50" t="str">
        <f t="shared" si="30"/>
        <v/>
      </c>
      <c r="AA120" s="52" t="str">
        <f t="shared" si="35"/>
        <v/>
      </c>
      <c r="AB120" s="53" t="str">
        <f t="shared" si="36"/>
        <v/>
      </c>
      <c r="AC120" s="41"/>
      <c r="AD120" s="58"/>
      <c r="AE120" s="54"/>
      <c r="AF120" s="54"/>
      <c r="AG120" s="54"/>
      <c r="AH120" s="115" t="str">
        <f t="shared" si="31"/>
        <v/>
      </c>
      <c r="AI120" s="114" t="str">
        <f t="shared" si="32"/>
        <v/>
      </c>
      <c r="AJ120" s="116" t="str">
        <f t="shared" si="33"/>
        <v/>
      </c>
      <c r="AK120" s="98" t="str">
        <f t="shared" si="34"/>
        <v/>
      </c>
      <c r="AL120" s="79"/>
      <c r="AM120" s="17"/>
      <c r="AN120" s="17"/>
      <c r="AO120" s="17"/>
      <c r="AP120" s="17"/>
      <c r="AQ120" s="17"/>
    </row>
    <row r="121" spans="1:43" ht="15">
      <c r="A121" s="64"/>
      <c r="B121" s="122"/>
      <c r="C121" s="117"/>
      <c r="D121" s="39"/>
      <c r="E121" s="40"/>
      <c r="F121" s="41"/>
      <c r="G121" s="42"/>
      <c r="H121" s="42"/>
      <c r="I121" s="59"/>
      <c r="J121" s="43"/>
      <c r="K121" s="44"/>
      <c r="L121" s="45"/>
      <c r="M121" s="74"/>
      <c r="N121" s="55"/>
      <c r="O121" s="55"/>
      <c r="P121" s="55"/>
      <c r="Q121" s="46"/>
      <c r="R121" s="47" t="str">
        <f t="shared" si="28"/>
        <v/>
      </c>
      <c r="S121" s="48"/>
      <c r="T121" s="49"/>
      <c r="U121" s="56"/>
      <c r="V121" s="58"/>
      <c r="W121" s="50" t="str">
        <f t="shared" si="29"/>
        <v/>
      </c>
      <c r="X121" s="51" t="str">
        <f t="shared" si="37"/>
        <v/>
      </c>
      <c r="Y121" s="57"/>
      <c r="Z121" s="50" t="str">
        <f t="shared" si="30"/>
        <v/>
      </c>
      <c r="AA121" s="52" t="str">
        <f t="shared" si="35"/>
        <v/>
      </c>
      <c r="AB121" s="53" t="str">
        <f t="shared" si="36"/>
        <v/>
      </c>
      <c r="AC121" s="41"/>
      <c r="AD121" s="58"/>
      <c r="AE121" s="54"/>
      <c r="AF121" s="54"/>
      <c r="AG121" s="54"/>
      <c r="AH121" s="115" t="str">
        <f t="shared" si="31"/>
        <v/>
      </c>
      <c r="AI121" s="114" t="str">
        <f t="shared" si="32"/>
        <v/>
      </c>
      <c r="AJ121" s="116" t="str">
        <f t="shared" si="33"/>
        <v/>
      </c>
      <c r="AK121" s="98" t="str">
        <f t="shared" si="34"/>
        <v/>
      </c>
      <c r="AL121" s="101"/>
      <c r="AM121" s="17"/>
      <c r="AN121" s="17"/>
      <c r="AO121" s="17"/>
      <c r="AP121" s="17"/>
      <c r="AQ121" s="17"/>
    </row>
    <row r="122" spans="1:43" ht="15">
      <c r="A122" s="64"/>
      <c r="B122" s="122"/>
      <c r="C122" s="117"/>
      <c r="D122" s="39"/>
      <c r="E122" s="40"/>
      <c r="F122" s="41"/>
      <c r="G122" s="42"/>
      <c r="H122" s="42"/>
      <c r="I122" s="59"/>
      <c r="J122" s="43"/>
      <c r="K122" s="44"/>
      <c r="L122" s="45"/>
      <c r="M122" s="74"/>
      <c r="N122" s="55"/>
      <c r="O122" s="55"/>
      <c r="P122" s="55"/>
      <c r="Q122" s="46"/>
      <c r="R122" s="47" t="str">
        <f t="shared" si="28"/>
        <v/>
      </c>
      <c r="S122" s="48"/>
      <c r="T122" s="49"/>
      <c r="U122" s="56"/>
      <c r="V122" s="58"/>
      <c r="W122" s="50" t="str">
        <f t="shared" si="29"/>
        <v/>
      </c>
      <c r="X122" s="51" t="str">
        <f t="shared" si="37"/>
        <v/>
      </c>
      <c r="Y122" s="57"/>
      <c r="Z122" s="50" t="str">
        <f t="shared" si="30"/>
        <v/>
      </c>
      <c r="AA122" s="52" t="str">
        <f t="shared" si="35"/>
        <v/>
      </c>
      <c r="AB122" s="53" t="str">
        <f t="shared" si="36"/>
        <v/>
      </c>
      <c r="AC122" s="41"/>
      <c r="AD122" s="58"/>
      <c r="AE122" s="54"/>
      <c r="AF122" s="54"/>
      <c r="AG122" s="54"/>
      <c r="AH122" s="115" t="str">
        <f t="shared" si="31"/>
        <v/>
      </c>
      <c r="AI122" s="114" t="str">
        <f t="shared" si="32"/>
        <v/>
      </c>
      <c r="AJ122" s="116" t="str">
        <f t="shared" si="33"/>
        <v/>
      </c>
      <c r="AK122" s="98" t="str">
        <f t="shared" si="34"/>
        <v/>
      </c>
      <c r="AL122" s="101"/>
      <c r="AM122" s="17"/>
      <c r="AN122" s="17"/>
      <c r="AO122" s="17"/>
      <c r="AP122" s="17"/>
      <c r="AQ122" s="17"/>
    </row>
    <row r="123" spans="1:43" ht="15">
      <c r="A123" s="64"/>
      <c r="B123" s="122"/>
      <c r="C123" s="117"/>
      <c r="D123" s="39"/>
      <c r="E123" s="40"/>
      <c r="F123" s="41"/>
      <c r="G123" s="42"/>
      <c r="H123" s="42"/>
      <c r="I123" s="59"/>
      <c r="J123" s="43"/>
      <c r="K123" s="44"/>
      <c r="L123" s="45"/>
      <c r="M123" s="74"/>
      <c r="N123" s="55"/>
      <c r="O123" s="55"/>
      <c r="P123" s="55"/>
      <c r="Q123" s="46"/>
      <c r="R123" s="47" t="str">
        <f t="shared" si="28"/>
        <v/>
      </c>
      <c r="S123" s="48"/>
      <c r="T123" s="49"/>
      <c r="U123" s="56"/>
      <c r="V123" s="58"/>
      <c r="W123" s="50" t="str">
        <f t="shared" si="29"/>
        <v/>
      </c>
      <c r="X123" s="51" t="str">
        <f t="shared" si="37"/>
        <v/>
      </c>
      <c r="Y123" s="57"/>
      <c r="Z123" s="50" t="str">
        <f t="shared" si="30"/>
        <v/>
      </c>
      <c r="AA123" s="52" t="str">
        <f t="shared" si="35"/>
        <v/>
      </c>
      <c r="AB123" s="53" t="str">
        <f t="shared" si="36"/>
        <v/>
      </c>
      <c r="AC123" s="41"/>
      <c r="AD123" s="58"/>
      <c r="AE123" s="54"/>
      <c r="AF123" s="54"/>
      <c r="AG123" s="54"/>
      <c r="AH123" s="115" t="str">
        <f t="shared" si="31"/>
        <v/>
      </c>
      <c r="AI123" s="114" t="str">
        <f t="shared" si="32"/>
        <v/>
      </c>
      <c r="AJ123" s="116" t="str">
        <f t="shared" si="33"/>
        <v/>
      </c>
      <c r="AK123" s="98" t="str">
        <f t="shared" si="34"/>
        <v/>
      </c>
      <c r="AL123" s="101"/>
      <c r="AM123" s="17"/>
      <c r="AN123" s="17"/>
      <c r="AO123" s="17"/>
      <c r="AP123" s="17"/>
      <c r="AQ123" s="17"/>
    </row>
    <row r="124" spans="1:43" ht="15">
      <c r="A124" s="64"/>
      <c r="B124" s="122"/>
      <c r="C124" s="117"/>
      <c r="D124" s="39"/>
      <c r="E124" s="40"/>
      <c r="F124" s="41"/>
      <c r="G124" s="42"/>
      <c r="H124" s="42"/>
      <c r="I124" s="59"/>
      <c r="J124" s="43"/>
      <c r="K124" s="44"/>
      <c r="L124" s="45"/>
      <c r="M124" s="74"/>
      <c r="N124" s="55"/>
      <c r="O124" s="55"/>
      <c r="P124" s="55"/>
      <c r="Q124" s="46"/>
      <c r="R124" s="47" t="str">
        <f t="shared" si="28"/>
        <v/>
      </c>
      <c r="S124" s="48"/>
      <c r="T124" s="49"/>
      <c r="U124" s="56"/>
      <c r="V124" s="58"/>
      <c r="W124" s="50" t="str">
        <f t="shared" si="29"/>
        <v/>
      </c>
      <c r="X124" s="51" t="str">
        <f t="shared" si="37"/>
        <v/>
      </c>
      <c r="Y124" s="57"/>
      <c r="Z124" s="50" t="str">
        <f t="shared" si="30"/>
        <v/>
      </c>
      <c r="AA124" s="52" t="str">
        <f t="shared" si="35"/>
        <v/>
      </c>
      <c r="AB124" s="53" t="str">
        <f t="shared" si="36"/>
        <v/>
      </c>
      <c r="AC124" s="41"/>
      <c r="AD124" s="58"/>
      <c r="AE124" s="54"/>
      <c r="AF124" s="54"/>
      <c r="AG124" s="54"/>
      <c r="AH124" s="115" t="str">
        <f t="shared" si="31"/>
        <v/>
      </c>
      <c r="AI124" s="114" t="str">
        <f t="shared" si="32"/>
        <v/>
      </c>
      <c r="AJ124" s="116" t="str">
        <f t="shared" si="33"/>
        <v/>
      </c>
      <c r="AK124" s="98" t="str">
        <f t="shared" si="34"/>
        <v/>
      </c>
      <c r="AL124" s="79"/>
      <c r="AM124" s="17"/>
      <c r="AN124" s="17"/>
      <c r="AO124" s="17"/>
      <c r="AP124" s="17"/>
      <c r="AQ124" s="17"/>
    </row>
    <row r="125" spans="1:43" ht="15">
      <c r="A125" s="64"/>
      <c r="B125" s="122"/>
      <c r="C125" s="117"/>
      <c r="D125" s="39"/>
      <c r="E125" s="40"/>
      <c r="F125" s="41"/>
      <c r="G125" s="42"/>
      <c r="H125" s="42"/>
      <c r="I125" s="59"/>
      <c r="J125" s="43"/>
      <c r="K125" s="44"/>
      <c r="L125" s="45"/>
      <c r="M125" s="74"/>
      <c r="N125" s="55"/>
      <c r="O125" s="55"/>
      <c r="P125" s="55"/>
      <c r="Q125" s="46"/>
      <c r="R125" s="47" t="str">
        <f t="shared" si="28"/>
        <v/>
      </c>
      <c r="S125" s="48"/>
      <c r="T125" s="49"/>
      <c r="U125" s="56"/>
      <c r="V125" s="58"/>
      <c r="W125" s="50" t="str">
        <f t="shared" si="29"/>
        <v/>
      </c>
      <c r="X125" s="51" t="str">
        <f t="shared" si="37"/>
        <v/>
      </c>
      <c r="Y125" s="57"/>
      <c r="Z125" s="50" t="str">
        <f t="shared" si="30"/>
        <v/>
      </c>
      <c r="AA125" s="52" t="str">
        <f t="shared" si="35"/>
        <v/>
      </c>
      <c r="AB125" s="53" t="str">
        <f t="shared" si="36"/>
        <v/>
      </c>
      <c r="AC125" s="41"/>
      <c r="AD125" s="58"/>
      <c r="AE125" s="54"/>
      <c r="AF125" s="54"/>
      <c r="AG125" s="54"/>
      <c r="AH125" s="115" t="str">
        <f t="shared" si="31"/>
        <v/>
      </c>
      <c r="AI125" s="114" t="str">
        <f t="shared" si="32"/>
        <v/>
      </c>
      <c r="AJ125" s="116" t="str">
        <f t="shared" si="33"/>
        <v/>
      </c>
      <c r="AK125" s="98" t="str">
        <f t="shared" si="34"/>
        <v/>
      </c>
      <c r="AL125" s="101"/>
      <c r="AM125" s="17"/>
      <c r="AN125" s="17"/>
      <c r="AO125" s="17"/>
      <c r="AP125" s="17"/>
      <c r="AQ125" s="17"/>
    </row>
    <row r="126" spans="1:43" ht="15">
      <c r="A126" s="64"/>
      <c r="B126" s="122"/>
      <c r="C126" s="117"/>
      <c r="D126" s="39"/>
      <c r="E126" s="40"/>
      <c r="F126" s="41"/>
      <c r="G126" s="42"/>
      <c r="H126" s="42"/>
      <c r="I126" s="59"/>
      <c r="J126" s="43"/>
      <c r="K126" s="44"/>
      <c r="L126" s="45"/>
      <c r="M126" s="74"/>
      <c r="N126" s="55"/>
      <c r="O126" s="55"/>
      <c r="P126" s="55"/>
      <c r="Q126" s="46"/>
      <c r="R126" s="47" t="str">
        <f t="shared" si="28"/>
        <v/>
      </c>
      <c r="S126" s="48"/>
      <c r="T126" s="49"/>
      <c r="U126" s="56"/>
      <c r="V126" s="58"/>
      <c r="W126" s="50" t="str">
        <f t="shared" si="29"/>
        <v/>
      </c>
      <c r="X126" s="51" t="str">
        <f t="shared" si="37"/>
        <v/>
      </c>
      <c r="Y126" s="57"/>
      <c r="Z126" s="50" t="str">
        <f t="shared" si="30"/>
        <v/>
      </c>
      <c r="AA126" s="52" t="str">
        <f t="shared" si="35"/>
        <v/>
      </c>
      <c r="AB126" s="53" t="str">
        <f t="shared" si="36"/>
        <v/>
      </c>
      <c r="AC126" s="41"/>
      <c r="AD126" s="58"/>
      <c r="AE126" s="54"/>
      <c r="AF126" s="54"/>
      <c r="AG126" s="54"/>
      <c r="AH126" s="115" t="str">
        <f t="shared" si="31"/>
        <v/>
      </c>
      <c r="AI126" s="114" t="str">
        <f t="shared" si="32"/>
        <v/>
      </c>
      <c r="AJ126" s="116" t="str">
        <f t="shared" si="33"/>
        <v/>
      </c>
      <c r="AK126" s="98" t="str">
        <f t="shared" si="34"/>
        <v/>
      </c>
      <c r="AL126" s="101"/>
      <c r="AM126" s="17"/>
      <c r="AN126" s="17"/>
      <c r="AO126" s="17"/>
      <c r="AP126" s="17"/>
      <c r="AQ126" s="17"/>
    </row>
    <row r="127" spans="1:43" ht="15">
      <c r="A127" s="64"/>
      <c r="B127" s="122"/>
      <c r="C127" s="117"/>
      <c r="D127" s="39"/>
      <c r="E127" s="40"/>
      <c r="F127" s="41"/>
      <c r="G127" s="42"/>
      <c r="H127" s="42"/>
      <c r="I127" s="59"/>
      <c r="J127" s="43"/>
      <c r="K127" s="44"/>
      <c r="L127" s="45"/>
      <c r="M127" s="74"/>
      <c r="N127" s="55"/>
      <c r="O127" s="55"/>
      <c r="P127" s="55"/>
      <c r="Q127" s="46"/>
      <c r="R127" s="47" t="str">
        <f t="shared" si="28"/>
        <v/>
      </c>
      <c r="S127" s="48"/>
      <c r="T127" s="49"/>
      <c r="U127" s="56"/>
      <c r="V127" s="58"/>
      <c r="W127" s="50" t="str">
        <f t="shared" si="29"/>
        <v/>
      </c>
      <c r="X127" s="51" t="str">
        <f t="shared" si="37"/>
        <v/>
      </c>
      <c r="Y127" s="57"/>
      <c r="Z127" s="50" t="str">
        <f t="shared" si="30"/>
        <v/>
      </c>
      <c r="AA127" s="52" t="str">
        <f t="shared" si="35"/>
        <v/>
      </c>
      <c r="AB127" s="53" t="str">
        <f t="shared" si="36"/>
        <v/>
      </c>
      <c r="AC127" s="41"/>
      <c r="AD127" s="58"/>
      <c r="AE127" s="54"/>
      <c r="AF127" s="54"/>
      <c r="AG127" s="54"/>
      <c r="AH127" s="115" t="str">
        <f t="shared" si="31"/>
        <v/>
      </c>
      <c r="AI127" s="114" t="str">
        <f t="shared" si="32"/>
        <v/>
      </c>
      <c r="AJ127" s="116" t="str">
        <f t="shared" si="33"/>
        <v/>
      </c>
      <c r="AK127" s="98" t="str">
        <f t="shared" si="34"/>
        <v/>
      </c>
      <c r="AL127" s="101"/>
      <c r="AM127" s="17"/>
      <c r="AN127" s="17"/>
      <c r="AO127" s="17"/>
      <c r="AP127" s="17"/>
      <c r="AQ127" s="17"/>
    </row>
    <row r="128" spans="1:43" ht="15">
      <c r="A128" s="64"/>
      <c r="B128" s="122"/>
      <c r="C128" s="117"/>
      <c r="D128" s="39"/>
      <c r="E128" s="40"/>
      <c r="F128" s="41"/>
      <c r="G128" s="42"/>
      <c r="H128" s="42"/>
      <c r="I128" s="59"/>
      <c r="J128" s="43"/>
      <c r="K128" s="44"/>
      <c r="L128" s="45"/>
      <c r="M128" s="74"/>
      <c r="N128" s="55"/>
      <c r="O128" s="55"/>
      <c r="P128" s="55"/>
      <c r="Q128" s="46"/>
      <c r="R128" s="47" t="str">
        <f t="shared" si="28"/>
        <v/>
      </c>
      <c r="S128" s="48"/>
      <c r="T128" s="49"/>
      <c r="U128" s="56"/>
      <c r="V128" s="58"/>
      <c r="W128" s="50" t="str">
        <f t="shared" si="29"/>
        <v/>
      </c>
      <c r="X128" s="51" t="str">
        <f t="shared" si="37"/>
        <v/>
      </c>
      <c r="Y128" s="57"/>
      <c r="Z128" s="50" t="str">
        <f t="shared" si="30"/>
        <v/>
      </c>
      <c r="AA128" s="52" t="str">
        <f t="shared" si="35"/>
        <v/>
      </c>
      <c r="AB128" s="53" t="str">
        <f t="shared" si="36"/>
        <v/>
      </c>
      <c r="AC128" s="41"/>
      <c r="AD128" s="58"/>
      <c r="AE128" s="54"/>
      <c r="AF128" s="54"/>
      <c r="AG128" s="54"/>
      <c r="AH128" s="115" t="str">
        <f t="shared" si="31"/>
        <v/>
      </c>
      <c r="AI128" s="114" t="str">
        <f t="shared" si="32"/>
        <v/>
      </c>
      <c r="AJ128" s="116" t="str">
        <f t="shared" si="33"/>
        <v/>
      </c>
      <c r="AK128" s="98" t="str">
        <f t="shared" si="34"/>
        <v/>
      </c>
      <c r="AL128" s="79"/>
      <c r="AM128" s="17"/>
      <c r="AN128" s="17"/>
      <c r="AO128" s="17"/>
      <c r="AP128" s="17"/>
      <c r="AQ128" s="17"/>
    </row>
    <row r="129" spans="1:43" ht="15">
      <c r="A129" s="64"/>
      <c r="B129" s="122"/>
      <c r="C129" s="117"/>
      <c r="D129" s="39"/>
      <c r="E129" s="40"/>
      <c r="F129" s="41"/>
      <c r="G129" s="42"/>
      <c r="H129" s="42"/>
      <c r="I129" s="59"/>
      <c r="J129" s="43"/>
      <c r="K129" s="44"/>
      <c r="L129" s="45"/>
      <c r="M129" s="74"/>
      <c r="N129" s="55"/>
      <c r="O129" s="55"/>
      <c r="P129" s="55"/>
      <c r="Q129" s="46"/>
      <c r="R129" s="47" t="str">
        <f t="shared" si="28"/>
        <v/>
      </c>
      <c r="S129" s="48"/>
      <c r="T129" s="49"/>
      <c r="U129" s="56"/>
      <c r="V129" s="58"/>
      <c r="W129" s="50" t="str">
        <f t="shared" si="29"/>
        <v/>
      </c>
      <c r="X129" s="51" t="str">
        <f t="shared" si="37"/>
        <v/>
      </c>
      <c r="Y129" s="57"/>
      <c r="Z129" s="50" t="str">
        <f t="shared" si="30"/>
        <v/>
      </c>
      <c r="AA129" s="52" t="str">
        <f t="shared" si="35"/>
        <v/>
      </c>
      <c r="AB129" s="53" t="str">
        <f t="shared" si="36"/>
        <v/>
      </c>
      <c r="AC129" s="41"/>
      <c r="AD129" s="58"/>
      <c r="AE129" s="54"/>
      <c r="AF129" s="54"/>
      <c r="AG129" s="54"/>
      <c r="AH129" s="115" t="str">
        <f t="shared" si="31"/>
        <v/>
      </c>
      <c r="AI129" s="114" t="str">
        <f t="shared" si="32"/>
        <v/>
      </c>
      <c r="AJ129" s="116" t="str">
        <f t="shared" si="33"/>
        <v/>
      </c>
      <c r="AK129" s="98" t="str">
        <f t="shared" si="34"/>
        <v/>
      </c>
      <c r="AL129" s="101"/>
      <c r="AM129" s="17"/>
      <c r="AN129" s="17"/>
      <c r="AO129" s="17"/>
      <c r="AP129" s="17"/>
      <c r="AQ129" s="17"/>
    </row>
    <row r="130" spans="1:43" ht="15">
      <c r="A130" s="64"/>
      <c r="B130" s="122"/>
      <c r="C130" s="117"/>
      <c r="D130" s="39"/>
      <c r="E130" s="40"/>
      <c r="F130" s="41"/>
      <c r="G130" s="42"/>
      <c r="H130" s="42"/>
      <c r="I130" s="59"/>
      <c r="J130" s="43"/>
      <c r="K130" s="44"/>
      <c r="L130" s="45"/>
      <c r="M130" s="74"/>
      <c r="N130" s="55"/>
      <c r="O130" s="55"/>
      <c r="P130" s="55"/>
      <c r="Q130" s="46"/>
      <c r="R130" s="47" t="str">
        <f t="shared" si="28"/>
        <v/>
      </c>
      <c r="S130" s="48"/>
      <c r="T130" s="49"/>
      <c r="U130" s="56"/>
      <c r="V130" s="58"/>
      <c r="W130" s="50" t="str">
        <f t="shared" si="29"/>
        <v/>
      </c>
      <c r="X130" s="51" t="str">
        <f t="shared" si="37"/>
        <v/>
      </c>
      <c r="Y130" s="57"/>
      <c r="Z130" s="50" t="str">
        <f t="shared" si="30"/>
        <v/>
      </c>
      <c r="AA130" s="52" t="str">
        <f t="shared" si="35"/>
        <v/>
      </c>
      <c r="AB130" s="53" t="str">
        <f t="shared" si="36"/>
        <v/>
      </c>
      <c r="AC130" s="41"/>
      <c r="AD130" s="58"/>
      <c r="AE130" s="54"/>
      <c r="AF130" s="54"/>
      <c r="AG130" s="54"/>
      <c r="AH130" s="115" t="str">
        <f t="shared" si="31"/>
        <v/>
      </c>
      <c r="AI130" s="114" t="str">
        <f t="shared" si="32"/>
        <v/>
      </c>
      <c r="AJ130" s="116" t="str">
        <f t="shared" si="33"/>
        <v/>
      </c>
      <c r="AK130" s="98" t="str">
        <f t="shared" si="34"/>
        <v/>
      </c>
      <c r="AL130" s="79"/>
      <c r="AM130" s="17"/>
      <c r="AN130" s="17"/>
      <c r="AO130" s="17"/>
      <c r="AP130" s="17"/>
      <c r="AQ130" s="17"/>
    </row>
    <row r="131" spans="1:43" ht="15">
      <c r="A131" s="64"/>
      <c r="B131" s="122"/>
      <c r="C131" s="117"/>
      <c r="D131" s="39"/>
      <c r="E131" s="40"/>
      <c r="F131" s="41"/>
      <c r="G131" s="42"/>
      <c r="H131" s="42"/>
      <c r="I131" s="59"/>
      <c r="J131" s="43"/>
      <c r="K131" s="44"/>
      <c r="L131" s="45"/>
      <c r="M131" s="74"/>
      <c r="N131" s="55"/>
      <c r="O131" s="55"/>
      <c r="P131" s="55"/>
      <c r="Q131" s="46"/>
      <c r="R131" s="47" t="str">
        <f t="shared" si="28"/>
        <v/>
      </c>
      <c r="S131" s="48"/>
      <c r="T131" s="49"/>
      <c r="U131" s="56"/>
      <c r="V131" s="58"/>
      <c r="W131" s="50" t="str">
        <f t="shared" si="29"/>
        <v/>
      </c>
      <c r="X131" s="51" t="str">
        <f t="shared" si="37"/>
        <v/>
      </c>
      <c r="Y131" s="57"/>
      <c r="Z131" s="50" t="str">
        <f t="shared" si="30"/>
        <v/>
      </c>
      <c r="AA131" s="52" t="str">
        <f t="shared" si="35"/>
        <v/>
      </c>
      <c r="AB131" s="53" t="str">
        <f t="shared" si="36"/>
        <v/>
      </c>
      <c r="AC131" s="41"/>
      <c r="AD131" s="58"/>
      <c r="AE131" s="54"/>
      <c r="AF131" s="54"/>
      <c r="AG131" s="54"/>
      <c r="AH131" s="115" t="str">
        <f t="shared" si="31"/>
        <v/>
      </c>
      <c r="AI131" s="114" t="str">
        <f t="shared" si="32"/>
        <v/>
      </c>
      <c r="AJ131" s="116" t="str">
        <f t="shared" si="33"/>
        <v/>
      </c>
      <c r="AK131" s="98" t="str">
        <f t="shared" si="34"/>
        <v/>
      </c>
      <c r="AL131" s="79"/>
      <c r="AM131" s="17"/>
      <c r="AN131" s="17"/>
      <c r="AO131" s="17"/>
      <c r="AP131" s="17"/>
      <c r="AQ131" s="17"/>
    </row>
    <row r="132" spans="1:43" ht="15">
      <c r="A132" s="64"/>
      <c r="B132" s="122"/>
      <c r="C132" s="117"/>
      <c r="D132" s="39"/>
      <c r="E132" s="40"/>
      <c r="F132" s="41"/>
      <c r="G132" s="42"/>
      <c r="H132" s="42"/>
      <c r="I132" s="59"/>
      <c r="J132" s="43"/>
      <c r="K132" s="44"/>
      <c r="L132" s="45"/>
      <c r="M132" s="74"/>
      <c r="N132" s="55"/>
      <c r="O132" s="55"/>
      <c r="P132" s="55"/>
      <c r="Q132" s="46"/>
      <c r="R132" s="47" t="str">
        <f t="shared" si="28"/>
        <v/>
      </c>
      <c r="S132" s="48"/>
      <c r="T132" s="49"/>
      <c r="U132" s="56"/>
      <c r="V132" s="58"/>
      <c r="W132" s="50" t="str">
        <f t="shared" si="29"/>
        <v/>
      </c>
      <c r="X132" s="51" t="str">
        <f t="shared" si="37"/>
        <v/>
      </c>
      <c r="Y132" s="57"/>
      <c r="Z132" s="50" t="str">
        <f t="shared" si="30"/>
        <v/>
      </c>
      <c r="AA132" s="52" t="str">
        <f t="shared" si="35"/>
        <v/>
      </c>
      <c r="AB132" s="53" t="str">
        <f t="shared" si="36"/>
        <v/>
      </c>
      <c r="AC132" s="41"/>
      <c r="AD132" s="58"/>
      <c r="AE132" s="54"/>
      <c r="AF132" s="54"/>
      <c r="AG132" s="54"/>
      <c r="AH132" s="115" t="str">
        <f t="shared" si="31"/>
        <v/>
      </c>
      <c r="AI132" s="114" t="str">
        <f t="shared" si="32"/>
        <v/>
      </c>
      <c r="AJ132" s="116" t="str">
        <f t="shared" si="33"/>
        <v/>
      </c>
      <c r="AK132" s="98" t="str">
        <f t="shared" si="34"/>
        <v/>
      </c>
      <c r="AL132" s="101"/>
      <c r="AM132" s="17"/>
      <c r="AN132" s="17"/>
      <c r="AO132" s="17"/>
      <c r="AP132" s="17"/>
      <c r="AQ132" s="17"/>
    </row>
    <row r="133" spans="1:43" ht="15">
      <c r="A133" s="64"/>
      <c r="B133" s="122"/>
      <c r="C133" s="117"/>
      <c r="D133" s="39"/>
      <c r="E133" s="40"/>
      <c r="F133" s="41"/>
      <c r="G133" s="42"/>
      <c r="H133" s="42"/>
      <c r="I133" s="59"/>
      <c r="J133" s="43"/>
      <c r="K133" s="44"/>
      <c r="L133" s="45"/>
      <c r="M133" s="74"/>
      <c r="N133" s="55"/>
      <c r="O133" s="55"/>
      <c r="P133" s="55"/>
      <c r="Q133" s="46"/>
      <c r="R133" s="47" t="str">
        <f t="shared" si="28"/>
        <v/>
      </c>
      <c r="S133" s="48"/>
      <c r="T133" s="49"/>
      <c r="U133" s="56"/>
      <c r="V133" s="58"/>
      <c r="W133" s="50" t="str">
        <f t="shared" si="29"/>
        <v/>
      </c>
      <c r="X133" s="51" t="str">
        <f t="shared" si="37"/>
        <v/>
      </c>
      <c r="Y133" s="57"/>
      <c r="Z133" s="50" t="str">
        <f t="shared" si="30"/>
        <v/>
      </c>
      <c r="AA133" s="52" t="str">
        <f t="shared" si="35"/>
        <v/>
      </c>
      <c r="AB133" s="53" t="str">
        <f t="shared" si="36"/>
        <v/>
      </c>
      <c r="AC133" s="41"/>
      <c r="AD133" s="58"/>
      <c r="AE133" s="54"/>
      <c r="AF133" s="54"/>
      <c r="AG133" s="54"/>
      <c r="AH133" s="115" t="str">
        <f t="shared" si="31"/>
        <v/>
      </c>
      <c r="AI133" s="114" t="str">
        <f t="shared" si="32"/>
        <v/>
      </c>
      <c r="AJ133" s="116" t="str">
        <f t="shared" si="33"/>
        <v/>
      </c>
      <c r="AK133" s="98" t="str">
        <f t="shared" si="34"/>
        <v/>
      </c>
      <c r="AL133" s="101"/>
      <c r="AM133" s="17"/>
      <c r="AN133" s="17"/>
      <c r="AO133" s="17"/>
      <c r="AP133" s="17"/>
      <c r="AQ133" s="17"/>
    </row>
    <row r="134" spans="1:43" ht="15">
      <c r="A134" s="64"/>
      <c r="B134" s="122"/>
      <c r="C134" s="117"/>
      <c r="D134" s="39"/>
      <c r="E134" s="40"/>
      <c r="F134" s="41"/>
      <c r="G134" s="42"/>
      <c r="H134" s="42"/>
      <c r="I134" s="59"/>
      <c r="J134" s="43"/>
      <c r="K134" s="44"/>
      <c r="L134" s="45"/>
      <c r="M134" s="74"/>
      <c r="N134" s="55"/>
      <c r="O134" s="55"/>
      <c r="P134" s="55"/>
      <c r="Q134" s="46"/>
      <c r="R134" s="47" t="str">
        <f t="shared" si="28"/>
        <v/>
      </c>
      <c r="S134" s="48"/>
      <c r="T134" s="49"/>
      <c r="U134" s="56"/>
      <c r="V134" s="58"/>
      <c r="W134" s="50" t="str">
        <f t="shared" si="29"/>
        <v/>
      </c>
      <c r="X134" s="51" t="str">
        <f t="shared" si="37"/>
        <v/>
      </c>
      <c r="Y134" s="57"/>
      <c r="Z134" s="50" t="str">
        <f t="shared" si="30"/>
        <v/>
      </c>
      <c r="AA134" s="52" t="str">
        <f t="shared" si="35"/>
        <v/>
      </c>
      <c r="AB134" s="53" t="str">
        <f t="shared" si="36"/>
        <v/>
      </c>
      <c r="AC134" s="41"/>
      <c r="AD134" s="58"/>
      <c r="AE134" s="54"/>
      <c r="AF134" s="54"/>
      <c r="AG134" s="54"/>
      <c r="AH134" s="115" t="str">
        <f t="shared" si="31"/>
        <v/>
      </c>
      <c r="AI134" s="114" t="str">
        <f t="shared" si="32"/>
        <v/>
      </c>
      <c r="AJ134" s="116" t="str">
        <f t="shared" si="33"/>
        <v/>
      </c>
      <c r="AK134" s="98" t="str">
        <f t="shared" si="34"/>
        <v/>
      </c>
      <c r="AL134" s="79"/>
      <c r="AM134" s="17"/>
      <c r="AN134" s="17"/>
      <c r="AO134" s="17"/>
      <c r="AP134" s="17"/>
      <c r="AQ134" s="17"/>
    </row>
    <row r="135" spans="1:43" ht="15">
      <c r="A135" s="64"/>
      <c r="B135" s="122"/>
      <c r="C135" s="117"/>
      <c r="D135" s="39"/>
      <c r="E135" s="40"/>
      <c r="F135" s="41"/>
      <c r="G135" s="42"/>
      <c r="H135" s="42"/>
      <c r="I135" s="59"/>
      <c r="J135" s="43"/>
      <c r="K135" s="44"/>
      <c r="L135" s="45"/>
      <c r="M135" s="74"/>
      <c r="N135" s="55"/>
      <c r="O135" s="55"/>
      <c r="P135" s="55"/>
      <c r="Q135" s="46"/>
      <c r="R135" s="47" t="str">
        <f t="shared" si="28"/>
        <v/>
      </c>
      <c r="S135" s="48"/>
      <c r="T135" s="49"/>
      <c r="U135" s="56"/>
      <c r="V135" s="58"/>
      <c r="W135" s="50" t="str">
        <f t="shared" si="29"/>
        <v/>
      </c>
      <c r="X135" s="51" t="str">
        <f t="shared" si="37"/>
        <v/>
      </c>
      <c r="Y135" s="57"/>
      <c r="Z135" s="50" t="str">
        <f t="shared" si="30"/>
        <v/>
      </c>
      <c r="AA135" s="52" t="str">
        <f t="shared" si="35"/>
        <v/>
      </c>
      <c r="AB135" s="53" t="str">
        <f t="shared" si="36"/>
        <v/>
      </c>
      <c r="AC135" s="41"/>
      <c r="AD135" s="58"/>
      <c r="AE135" s="54"/>
      <c r="AF135" s="54"/>
      <c r="AG135" s="54"/>
      <c r="AH135" s="115" t="str">
        <f t="shared" si="31"/>
        <v/>
      </c>
      <c r="AI135" s="114" t="str">
        <f t="shared" si="32"/>
        <v/>
      </c>
      <c r="AJ135" s="116" t="str">
        <f t="shared" si="33"/>
        <v/>
      </c>
      <c r="AK135" s="98" t="str">
        <f t="shared" si="34"/>
        <v/>
      </c>
      <c r="AL135" s="79"/>
      <c r="AM135" s="17"/>
      <c r="AN135" s="17"/>
      <c r="AO135" s="17"/>
      <c r="AP135" s="17"/>
      <c r="AQ135" s="17"/>
    </row>
    <row r="136" spans="1:43">
      <c r="A136" s="64"/>
      <c r="B136" s="122"/>
      <c r="C136" s="118"/>
      <c r="D136" s="39"/>
      <c r="E136" s="40"/>
      <c r="F136" s="41"/>
      <c r="G136" s="42"/>
      <c r="H136" s="42"/>
      <c r="I136" s="59"/>
      <c r="J136" s="43"/>
      <c r="K136" s="44"/>
      <c r="L136" s="45"/>
      <c r="M136" s="74"/>
      <c r="N136" s="55"/>
      <c r="O136" s="55"/>
      <c r="P136" s="55"/>
      <c r="Q136" s="46"/>
      <c r="R136" s="47" t="str">
        <f t="shared" si="28"/>
        <v/>
      </c>
      <c r="S136" s="48"/>
      <c r="T136" s="49"/>
      <c r="U136" s="56"/>
      <c r="V136" s="58"/>
      <c r="W136" s="50" t="str">
        <f t="shared" si="29"/>
        <v/>
      </c>
      <c r="X136" s="51" t="str">
        <f t="shared" si="37"/>
        <v/>
      </c>
      <c r="Y136" s="57"/>
      <c r="Z136" s="50" t="str">
        <f t="shared" si="30"/>
        <v/>
      </c>
      <c r="AA136" s="52" t="str">
        <f t="shared" si="35"/>
        <v/>
      </c>
      <c r="AB136" s="53" t="str">
        <f t="shared" si="36"/>
        <v/>
      </c>
      <c r="AC136" s="41"/>
      <c r="AD136" s="58"/>
      <c r="AE136" s="54"/>
      <c r="AF136" s="54"/>
      <c r="AG136" s="54"/>
      <c r="AH136" s="115" t="str">
        <f t="shared" si="31"/>
        <v/>
      </c>
      <c r="AI136" s="114" t="str">
        <f t="shared" si="32"/>
        <v/>
      </c>
      <c r="AJ136" s="116" t="str">
        <f t="shared" si="33"/>
        <v/>
      </c>
      <c r="AK136" s="98" t="str">
        <f t="shared" si="34"/>
        <v/>
      </c>
      <c r="AL136" s="79"/>
      <c r="AM136" s="17"/>
      <c r="AN136" s="17"/>
      <c r="AO136" s="17"/>
      <c r="AP136" s="17"/>
      <c r="AQ136" s="17"/>
    </row>
    <row r="137" spans="1:43">
      <c r="A137" s="64"/>
      <c r="B137" s="122"/>
      <c r="C137" s="118"/>
      <c r="D137" s="39"/>
      <c r="E137" s="40"/>
      <c r="F137" s="41"/>
      <c r="G137" s="42"/>
      <c r="H137" s="42"/>
      <c r="I137" s="59"/>
      <c r="J137" s="43"/>
      <c r="K137" s="44"/>
      <c r="L137" s="45"/>
      <c r="M137" s="74"/>
      <c r="N137" s="55"/>
      <c r="O137" s="55"/>
      <c r="P137" s="55"/>
      <c r="Q137" s="46"/>
      <c r="R137" s="47" t="str">
        <f t="shared" si="28"/>
        <v/>
      </c>
      <c r="S137" s="48"/>
      <c r="T137" s="49"/>
      <c r="U137" s="56"/>
      <c r="V137" s="58"/>
      <c r="W137" s="50" t="str">
        <f t="shared" si="29"/>
        <v/>
      </c>
      <c r="X137" s="51" t="str">
        <f t="shared" si="37"/>
        <v/>
      </c>
      <c r="Y137" s="57"/>
      <c r="Z137" s="50" t="str">
        <f t="shared" si="30"/>
        <v/>
      </c>
      <c r="AA137" s="52" t="str">
        <f t="shared" si="35"/>
        <v/>
      </c>
      <c r="AB137" s="53" t="str">
        <f t="shared" si="36"/>
        <v/>
      </c>
      <c r="AC137" s="41"/>
      <c r="AD137" s="58"/>
      <c r="AE137" s="54"/>
      <c r="AF137" s="54"/>
      <c r="AG137" s="54"/>
      <c r="AH137" s="115" t="str">
        <f t="shared" si="31"/>
        <v/>
      </c>
      <c r="AI137" s="114" t="str">
        <f t="shared" si="32"/>
        <v/>
      </c>
      <c r="AJ137" s="116" t="str">
        <f t="shared" si="33"/>
        <v/>
      </c>
      <c r="AK137" s="98" t="str">
        <f t="shared" si="34"/>
        <v/>
      </c>
      <c r="AL137" s="79"/>
      <c r="AM137" s="17"/>
      <c r="AN137" s="17"/>
      <c r="AO137" s="17"/>
      <c r="AP137" s="17"/>
      <c r="AQ137" s="17"/>
    </row>
    <row r="138" spans="1:43">
      <c r="A138" s="64"/>
      <c r="B138" s="122"/>
      <c r="C138" s="118"/>
      <c r="D138" s="39"/>
      <c r="E138" s="40"/>
      <c r="F138" s="41"/>
      <c r="G138" s="42"/>
      <c r="H138" s="42"/>
      <c r="I138" s="59"/>
      <c r="J138" s="43"/>
      <c r="K138" s="44"/>
      <c r="L138" s="45"/>
      <c r="M138" s="74"/>
      <c r="N138" s="55"/>
      <c r="O138" s="55"/>
      <c r="P138" s="55"/>
      <c r="Q138" s="46"/>
      <c r="R138" s="47" t="str">
        <f t="shared" si="28"/>
        <v/>
      </c>
      <c r="S138" s="48"/>
      <c r="T138" s="49"/>
      <c r="U138" s="56"/>
      <c r="V138" s="58"/>
      <c r="W138" s="50" t="str">
        <f t="shared" si="29"/>
        <v/>
      </c>
      <c r="X138" s="51" t="str">
        <f t="shared" si="37"/>
        <v/>
      </c>
      <c r="Y138" s="57"/>
      <c r="Z138" s="50" t="str">
        <f t="shared" si="30"/>
        <v/>
      </c>
      <c r="AA138" s="52" t="str">
        <f t="shared" si="35"/>
        <v/>
      </c>
      <c r="AB138" s="53" t="str">
        <f t="shared" si="36"/>
        <v/>
      </c>
      <c r="AC138" s="41"/>
      <c r="AD138" s="58"/>
      <c r="AE138" s="54"/>
      <c r="AF138" s="54"/>
      <c r="AG138" s="54"/>
      <c r="AH138" s="115" t="str">
        <f t="shared" si="31"/>
        <v/>
      </c>
      <c r="AI138" s="114" t="str">
        <f t="shared" si="32"/>
        <v/>
      </c>
      <c r="AJ138" s="116" t="str">
        <f t="shared" si="33"/>
        <v/>
      </c>
      <c r="AK138" s="98" t="str">
        <f t="shared" si="34"/>
        <v/>
      </c>
      <c r="AL138" s="79"/>
      <c r="AM138" s="17"/>
      <c r="AN138" s="17"/>
      <c r="AO138" s="17"/>
      <c r="AP138" s="17"/>
      <c r="AQ138" s="17"/>
    </row>
    <row r="139" spans="1:43">
      <c r="A139" s="64"/>
      <c r="B139" s="122"/>
      <c r="C139" s="118"/>
      <c r="D139" s="39"/>
      <c r="E139" s="40"/>
      <c r="F139" s="41"/>
      <c r="G139" s="42"/>
      <c r="H139" s="42"/>
      <c r="I139" s="59"/>
      <c r="J139" s="43"/>
      <c r="K139" s="44"/>
      <c r="L139" s="45"/>
      <c r="M139" s="74"/>
      <c r="N139" s="55"/>
      <c r="O139" s="55"/>
      <c r="P139" s="55"/>
      <c r="Q139" s="46"/>
      <c r="R139" s="47" t="str">
        <f t="shared" ref="R139:R202" si="39">IF(Q139="","",S139*Q139/100%)</f>
        <v/>
      </c>
      <c r="S139" s="48"/>
      <c r="T139" s="49"/>
      <c r="U139" s="56"/>
      <c r="V139" s="58"/>
      <c r="W139" s="50" t="str">
        <f t="shared" ref="W139:W202" si="40">IF(V139="","",IF(L139="Long",U139-V139,V139-U139))</f>
        <v/>
      </c>
      <c r="X139" s="51" t="str">
        <f t="shared" si="37"/>
        <v/>
      </c>
      <c r="Y139" s="57"/>
      <c r="Z139" s="50" t="str">
        <f t="shared" ref="Z139:Z202" si="41">IF(Y139="","",IF(L139="Long",Y139-U139,U139-Y139))</f>
        <v/>
      </c>
      <c r="AA139" s="52" t="str">
        <f t="shared" si="35"/>
        <v/>
      </c>
      <c r="AB139" s="53" t="str">
        <f t="shared" si="36"/>
        <v/>
      </c>
      <c r="AC139" s="41"/>
      <c r="AD139" s="58"/>
      <c r="AE139" s="54"/>
      <c r="AF139" s="54"/>
      <c r="AG139" s="54"/>
      <c r="AH139" s="115" t="str">
        <f t="shared" si="31"/>
        <v/>
      </c>
      <c r="AI139" s="114" t="str">
        <f t="shared" si="32"/>
        <v/>
      </c>
      <c r="AJ139" s="116" t="str">
        <f t="shared" si="33"/>
        <v/>
      </c>
      <c r="AK139" s="98" t="str">
        <f t="shared" si="34"/>
        <v/>
      </c>
      <c r="AL139" s="79"/>
      <c r="AM139" s="17"/>
      <c r="AN139" s="17"/>
      <c r="AO139" s="17"/>
      <c r="AP139" s="17"/>
      <c r="AQ139" s="17"/>
    </row>
    <row r="140" spans="1:43">
      <c r="A140" s="64"/>
      <c r="B140" s="122"/>
      <c r="C140" s="118"/>
      <c r="D140" s="39"/>
      <c r="E140" s="40"/>
      <c r="F140" s="41"/>
      <c r="G140" s="42"/>
      <c r="H140" s="42"/>
      <c r="I140" s="59"/>
      <c r="J140" s="43"/>
      <c r="K140" s="44"/>
      <c r="L140" s="45"/>
      <c r="M140" s="74"/>
      <c r="N140" s="55"/>
      <c r="O140" s="55"/>
      <c r="P140" s="55"/>
      <c r="Q140" s="46"/>
      <c r="R140" s="47" t="str">
        <f t="shared" si="39"/>
        <v/>
      </c>
      <c r="S140" s="48"/>
      <c r="T140" s="49"/>
      <c r="U140" s="56"/>
      <c r="V140" s="58"/>
      <c r="W140" s="50" t="str">
        <f t="shared" si="40"/>
        <v/>
      </c>
      <c r="X140" s="51" t="str">
        <f t="shared" si="37"/>
        <v/>
      </c>
      <c r="Y140" s="57"/>
      <c r="Z140" s="50" t="str">
        <f t="shared" si="41"/>
        <v/>
      </c>
      <c r="AA140" s="52" t="str">
        <f t="shared" si="35"/>
        <v/>
      </c>
      <c r="AB140" s="53" t="str">
        <f t="shared" si="36"/>
        <v/>
      </c>
      <c r="AC140" s="41"/>
      <c r="AD140" s="58"/>
      <c r="AE140" s="54"/>
      <c r="AF140" s="54"/>
      <c r="AG140" s="54"/>
      <c r="AH140" s="115" t="str">
        <f t="shared" ref="AH140:AH203" si="42">IF(AG140="","",AG140+AF140+AE140)</f>
        <v/>
      </c>
      <c r="AI140" s="114" t="str">
        <f t="shared" si="32"/>
        <v/>
      </c>
      <c r="AJ140" s="116" t="str">
        <f t="shared" si="33"/>
        <v/>
      </c>
      <c r="AK140" s="98" t="str">
        <f t="shared" si="34"/>
        <v/>
      </c>
      <c r="AL140" s="79"/>
      <c r="AM140" s="17"/>
      <c r="AN140" s="17"/>
      <c r="AO140" s="17"/>
      <c r="AP140" s="17"/>
      <c r="AQ140" s="17"/>
    </row>
    <row r="141" spans="1:43">
      <c r="A141" s="64"/>
      <c r="B141" s="122"/>
      <c r="C141" s="118"/>
      <c r="D141" s="39"/>
      <c r="E141" s="40"/>
      <c r="F141" s="41"/>
      <c r="G141" s="42"/>
      <c r="H141" s="42"/>
      <c r="I141" s="59"/>
      <c r="J141" s="43"/>
      <c r="K141" s="44"/>
      <c r="L141" s="45"/>
      <c r="M141" s="74"/>
      <c r="N141" s="55"/>
      <c r="O141" s="55"/>
      <c r="P141" s="55"/>
      <c r="Q141" s="46"/>
      <c r="R141" s="47" t="str">
        <f t="shared" si="39"/>
        <v/>
      </c>
      <c r="S141" s="48"/>
      <c r="T141" s="49"/>
      <c r="U141" s="56"/>
      <c r="V141" s="58"/>
      <c r="W141" s="50" t="str">
        <f t="shared" si="40"/>
        <v/>
      </c>
      <c r="X141" s="51" t="str">
        <f t="shared" si="37"/>
        <v/>
      </c>
      <c r="Y141" s="57"/>
      <c r="Z141" s="50" t="str">
        <f t="shared" si="41"/>
        <v/>
      </c>
      <c r="AA141" s="52" t="str">
        <f t="shared" si="35"/>
        <v/>
      </c>
      <c r="AB141" s="53" t="str">
        <f t="shared" si="36"/>
        <v/>
      </c>
      <c r="AC141" s="41"/>
      <c r="AD141" s="58"/>
      <c r="AE141" s="54"/>
      <c r="AF141" s="54"/>
      <c r="AG141" s="54"/>
      <c r="AH141" s="115" t="str">
        <f t="shared" si="42"/>
        <v/>
      </c>
      <c r="AI141" s="114" t="str">
        <f t="shared" si="32"/>
        <v/>
      </c>
      <c r="AJ141" s="116" t="str">
        <f t="shared" si="33"/>
        <v/>
      </c>
      <c r="AK141" s="98" t="str">
        <f t="shared" si="34"/>
        <v/>
      </c>
      <c r="AL141" s="79"/>
      <c r="AM141" s="17"/>
      <c r="AN141" s="17"/>
      <c r="AO141" s="17"/>
      <c r="AP141" s="17"/>
      <c r="AQ141" s="17"/>
    </row>
    <row r="142" spans="1:43">
      <c r="A142" s="64"/>
      <c r="B142" s="122"/>
      <c r="C142" s="118"/>
      <c r="D142" s="39"/>
      <c r="E142" s="40"/>
      <c r="F142" s="41"/>
      <c r="G142" s="42"/>
      <c r="H142" s="42"/>
      <c r="I142" s="59"/>
      <c r="J142" s="43"/>
      <c r="K142" s="44"/>
      <c r="L142" s="45"/>
      <c r="M142" s="74"/>
      <c r="N142" s="55"/>
      <c r="O142" s="55"/>
      <c r="P142" s="55"/>
      <c r="Q142" s="46"/>
      <c r="R142" s="47" t="str">
        <f t="shared" si="39"/>
        <v/>
      </c>
      <c r="S142" s="48"/>
      <c r="T142" s="49"/>
      <c r="U142" s="56"/>
      <c r="V142" s="58"/>
      <c r="W142" s="50" t="str">
        <f t="shared" si="40"/>
        <v/>
      </c>
      <c r="X142" s="51" t="str">
        <f t="shared" si="37"/>
        <v/>
      </c>
      <c r="Y142" s="57"/>
      <c r="Z142" s="50" t="str">
        <f t="shared" si="41"/>
        <v/>
      </c>
      <c r="AA142" s="52" t="str">
        <f t="shared" si="35"/>
        <v/>
      </c>
      <c r="AB142" s="53" t="str">
        <f t="shared" si="36"/>
        <v/>
      </c>
      <c r="AC142" s="41"/>
      <c r="AD142" s="58"/>
      <c r="AE142" s="54"/>
      <c r="AF142" s="54"/>
      <c r="AG142" s="54"/>
      <c r="AH142" s="115" t="str">
        <f t="shared" si="42"/>
        <v/>
      </c>
      <c r="AI142" s="114" t="str">
        <f t="shared" si="32"/>
        <v/>
      </c>
      <c r="AJ142" s="116" t="str">
        <f t="shared" si="33"/>
        <v/>
      </c>
      <c r="AK142" s="98" t="str">
        <f t="shared" si="34"/>
        <v/>
      </c>
      <c r="AL142" s="79"/>
      <c r="AM142" s="17"/>
      <c r="AN142" s="17"/>
      <c r="AO142" s="17"/>
      <c r="AP142" s="17"/>
      <c r="AQ142" s="17"/>
    </row>
    <row r="143" spans="1:43">
      <c r="A143" s="64"/>
      <c r="B143" s="122"/>
      <c r="C143" s="118"/>
      <c r="D143" s="39"/>
      <c r="E143" s="40"/>
      <c r="F143" s="41"/>
      <c r="G143" s="42"/>
      <c r="H143" s="42"/>
      <c r="I143" s="59"/>
      <c r="J143" s="43"/>
      <c r="K143" s="44"/>
      <c r="L143" s="45"/>
      <c r="M143" s="74"/>
      <c r="N143" s="55"/>
      <c r="O143" s="55"/>
      <c r="P143" s="55"/>
      <c r="Q143" s="46"/>
      <c r="R143" s="47" t="str">
        <f t="shared" si="39"/>
        <v/>
      </c>
      <c r="S143" s="48"/>
      <c r="T143" s="49"/>
      <c r="U143" s="56"/>
      <c r="V143" s="58"/>
      <c r="W143" s="50" t="str">
        <f t="shared" si="40"/>
        <v/>
      </c>
      <c r="X143" s="51" t="str">
        <f t="shared" si="37"/>
        <v/>
      </c>
      <c r="Y143" s="57"/>
      <c r="Z143" s="50" t="str">
        <f t="shared" si="41"/>
        <v/>
      </c>
      <c r="AA143" s="52" t="str">
        <f t="shared" si="35"/>
        <v/>
      </c>
      <c r="AB143" s="53" t="str">
        <f t="shared" si="36"/>
        <v/>
      </c>
      <c r="AC143" s="41"/>
      <c r="AD143" s="58"/>
      <c r="AE143" s="54"/>
      <c r="AF143" s="54"/>
      <c r="AG143" s="54"/>
      <c r="AH143" s="115" t="str">
        <f t="shared" si="42"/>
        <v/>
      </c>
      <c r="AI143" s="114" t="str">
        <f t="shared" ref="AI143:AI206" si="43">IF(AD143="","",IF(L143="Long",AD143-U143,U143-AD143))</f>
        <v/>
      </c>
      <c r="AJ143" s="116" t="str">
        <f t="shared" ref="AJ143:AJ206" si="44">IF(AI143="","",AG143*S143/X143)</f>
        <v/>
      </c>
      <c r="AK143" s="98" t="str">
        <f t="shared" ref="AK143:AK206" si="45">IF(AI143="","",(AG143+AF143+AE143)*S143/X143)</f>
        <v/>
      </c>
      <c r="AL143" s="79"/>
      <c r="AM143" s="17"/>
      <c r="AN143" s="17"/>
      <c r="AO143" s="17"/>
      <c r="AP143" s="17"/>
      <c r="AQ143" s="17"/>
    </row>
    <row r="144" spans="1:43">
      <c r="A144" s="64"/>
      <c r="B144" s="122"/>
      <c r="C144" s="118"/>
      <c r="D144" s="39"/>
      <c r="E144" s="40"/>
      <c r="F144" s="41"/>
      <c r="G144" s="42"/>
      <c r="H144" s="42"/>
      <c r="I144" s="59"/>
      <c r="J144" s="43"/>
      <c r="K144" s="44"/>
      <c r="L144" s="45"/>
      <c r="M144" s="74"/>
      <c r="N144" s="55"/>
      <c r="O144" s="55"/>
      <c r="P144" s="55"/>
      <c r="Q144" s="46"/>
      <c r="R144" s="47" t="str">
        <f t="shared" si="39"/>
        <v/>
      </c>
      <c r="S144" s="48"/>
      <c r="T144" s="49"/>
      <c r="U144" s="56"/>
      <c r="V144" s="58"/>
      <c r="W144" s="50" t="str">
        <f t="shared" si="40"/>
        <v/>
      </c>
      <c r="X144" s="51" t="str">
        <f t="shared" si="37"/>
        <v/>
      </c>
      <c r="Y144" s="57"/>
      <c r="Z144" s="50" t="str">
        <f t="shared" si="41"/>
        <v/>
      </c>
      <c r="AA144" s="52" t="str">
        <f t="shared" si="35"/>
        <v/>
      </c>
      <c r="AB144" s="53" t="str">
        <f t="shared" si="36"/>
        <v/>
      </c>
      <c r="AC144" s="41"/>
      <c r="AD144" s="58"/>
      <c r="AE144" s="54"/>
      <c r="AF144" s="54"/>
      <c r="AG144" s="54"/>
      <c r="AH144" s="115" t="str">
        <f t="shared" si="42"/>
        <v/>
      </c>
      <c r="AI144" s="114" t="str">
        <f t="shared" si="43"/>
        <v/>
      </c>
      <c r="AJ144" s="116" t="str">
        <f t="shared" si="44"/>
        <v/>
      </c>
      <c r="AK144" s="98" t="str">
        <f t="shared" si="45"/>
        <v/>
      </c>
      <c r="AL144" s="79"/>
      <c r="AM144" s="17"/>
      <c r="AN144" s="17"/>
      <c r="AO144" s="17"/>
      <c r="AP144" s="17"/>
      <c r="AQ144" s="17"/>
    </row>
    <row r="145" spans="1:43">
      <c r="A145" s="64"/>
      <c r="B145" s="122"/>
      <c r="C145" s="118"/>
      <c r="D145" s="39"/>
      <c r="E145" s="40"/>
      <c r="F145" s="41"/>
      <c r="G145" s="42"/>
      <c r="H145" s="42"/>
      <c r="I145" s="59"/>
      <c r="J145" s="43"/>
      <c r="K145" s="44"/>
      <c r="L145" s="45"/>
      <c r="M145" s="74"/>
      <c r="N145" s="55"/>
      <c r="O145" s="55"/>
      <c r="P145" s="55"/>
      <c r="Q145" s="46"/>
      <c r="R145" s="47" t="str">
        <f t="shared" si="39"/>
        <v/>
      </c>
      <c r="S145" s="48"/>
      <c r="T145" s="49"/>
      <c r="U145" s="56"/>
      <c r="V145" s="58"/>
      <c r="W145" s="50" t="str">
        <f t="shared" si="40"/>
        <v/>
      </c>
      <c r="X145" s="51" t="str">
        <f t="shared" si="37"/>
        <v/>
      </c>
      <c r="Y145" s="57"/>
      <c r="Z145" s="50" t="str">
        <f t="shared" si="41"/>
        <v/>
      </c>
      <c r="AA145" s="52" t="str">
        <f t="shared" si="35"/>
        <v/>
      </c>
      <c r="AB145" s="53" t="str">
        <f t="shared" si="36"/>
        <v/>
      </c>
      <c r="AC145" s="41"/>
      <c r="AD145" s="58"/>
      <c r="AE145" s="54"/>
      <c r="AF145" s="54"/>
      <c r="AG145" s="54"/>
      <c r="AH145" s="115" t="str">
        <f t="shared" si="42"/>
        <v/>
      </c>
      <c r="AI145" s="114" t="str">
        <f t="shared" si="43"/>
        <v/>
      </c>
      <c r="AJ145" s="116" t="str">
        <f t="shared" si="44"/>
        <v/>
      </c>
      <c r="AK145" s="98" t="str">
        <f t="shared" si="45"/>
        <v/>
      </c>
      <c r="AL145" s="79"/>
      <c r="AM145" s="17"/>
      <c r="AN145" s="17"/>
      <c r="AO145" s="17"/>
      <c r="AP145" s="17"/>
      <c r="AQ145" s="17"/>
    </row>
    <row r="146" spans="1:43">
      <c r="A146" s="64"/>
      <c r="B146" s="122"/>
      <c r="C146" s="118"/>
      <c r="D146" s="39"/>
      <c r="E146" s="40"/>
      <c r="F146" s="41"/>
      <c r="G146" s="42"/>
      <c r="H146" s="42"/>
      <c r="I146" s="59"/>
      <c r="J146" s="43"/>
      <c r="K146" s="44"/>
      <c r="L146" s="45"/>
      <c r="M146" s="74"/>
      <c r="N146" s="55"/>
      <c r="O146" s="55"/>
      <c r="P146" s="55"/>
      <c r="Q146" s="46"/>
      <c r="R146" s="47" t="str">
        <f t="shared" si="39"/>
        <v/>
      </c>
      <c r="S146" s="48"/>
      <c r="T146" s="49"/>
      <c r="U146" s="56"/>
      <c r="V146" s="58"/>
      <c r="W146" s="50" t="str">
        <f t="shared" si="40"/>
        <v/>
      </c>
      <c r="X146" s="51" t="str">
        <f t="shared" si="37"/>
        <v/>
      </c>
      <c r="Y146" s="57"/>
      <c r="Z146" s="50" t="str">
        <f t="shared" si="41"/>
        <v/>
      </c>
      <c r="AA146" s="52" t="str">
        <f t="shared" ref="AA146:AA209" si="46">IF(AB146="","",AB146*X146/1)</f>
        <v/>
      </c>
      <c r="AB146" s="53" t="str">
        <f t="shared" ref="AB146:AB209" si="47">IF(Z146="","",Z146*1/W146)</f>
        <v/>
      </c>
      <c r="AC146" s="41"/>
      <c r="AD146" s="58"/>
      <c r="AE146" s="54"/>
      <c r="AF146" s="54"/>
      <c r="AG146" s="54"/>
      <c r="AH146" s="115" t="str">
        <f t="shared" si="42"/>
        <v/>
      </c>
      <c r="AI146" s="114" t="str">
        <f t="shared" si="43"/>
        <v/>
      </c>
      <c r="AJ146" s="116" t="str">
        <f t="shared" si="44"/>
        <v/>
      </c>
      <c r="AK146" s="98" t="str">
        <f t="shared" si="45"/>
        <v/>
      </c>
      <c r="AL146" s="79"/>
      <c r="AM146" s="17"/>
      <c r="AN146" s="17"/>
      <c r="AO146" s="17"/>
      <c r="AP146" s="17"/>
      <c r="AQ146" s="17"/>
    </row>
    <row r="147" spans="1:43">
      <c r="A147" s="64"/>
      <c r="B147" s="122"/>
      <c r="C147" s="118"/>
      <c r="D147" s="39"/>
      <c r="E147" s="40"/>
      <c r="F147" s="41"/>
      <c r="G147" s="42"/>
      <c r="H147" s="42"/>
      <c r="I147" s="59"/>
      <c r="J147" s="43"/>
      <c r="K147" s="44"/>
      <c r="L147" s="45"/>
      <c r="M147" s="74"/>
      <c r="N147" s="55"/>
      <c r="O147" s="55"/>
      <c r="P147" s="55"/>
      <c r="Q147" s="46"/>
      <c r="R147" s="47" t="str">
        <f t="shared" si="39"/>
        <v/>
      </c>
      <c r="S147" s="48"/>
      <c r="T147" s="49"/>
      <c r="U147" s="56"/>
      <c r="V147" s="58"/>
      <c r="W147" s="50" t="str">
        <f t="shared" si="40"/>
        <v/>
      </c>
      <c r="X147" s="51" t="str">
        <f t="shared" ref="X147:X210" si="48">IF(W147="","",R147)</f>
        <v/>
      </c>
      <c r="Y147" s="57"/>
      <c r="Z147" s="50" t="str">
        <f t="shared" si="41"/>
        <v/>
      </c>
      <c r="AA147" s="52" t="str">
        <f t="shared" si="46"/>
        <v/>
      </c>
      <c r="AB147" s="53" t="str">
        <f t="shared" si="47"/>
        <v/>
      </c>
      <c r="AC147" s="41"/>
      <c r="AD147" s="58"/>
      <c r="AE147" s="54"/>
      <c r="AF147" s="54"/>
      <c r="AG147" s="54"/>
      <c r="AH147" s="115" t="str">
        <f t="shared" si="42"/>
        <v/>
      </c>
      <c r="AI147" s="114" t="str">
        <f t="shared" si="43"/>
        <v/>
      </c>
      <c r="AJ147" s="116" t="str">
        <f t="shared" si="44"/>
        <v/>
      </c>
      <c r="AK147" s="98" t="str">
        <f t="shared" si="45"/>
        <v/>
      </c>
      <c r="AL147" s="79"/>
      <c r="AM147" s="17"/>
      <c r="AN147" s="17"/>
      <c r="AO147" s="17"/>
      <c r="AP147" s="17"/>
      <c r="AQ147" s="17"/>
    </row>
    <row r="148" spans="1:43">
      <c r="A148" s="64"/>
      <c r="B148" s="122"/>
      <c r="C148" s="118"/>
      <c r="D148" s="39"/>
      <c r="E148" s="40"/>
      <c r="F148" s="41"/>
      <c r="G148" s="42"/>
      <c r="H148" s="42"/>
      <c r="I148" s="59"/>
      <c r="J148" s="43"/>
      <c r="K148" s="44"/>
      <c r="L148" s="45"/>
      <c r="M148" s="74"/>
      <c r="N148" s="55"/>
      <c r="O148" s="55"/>
      <c r="P148" s="55"/>
      <c r="Q148" s="46"/>
      <c r="R148" s="47" t="str">
        <f t="shared" si="39"/>
        <v/>
      </c>
      <c r="S148" s="48"/>
      <c r="T148" s="49"/>
      <c r="U148" s="56"/>
      <c r="V148" s="58"/>
      <c r="W148" s="50" t="str">
        <f t="shared" si="40"/>
        <v/>
      </c>
      <c r="X148" s="51" t="str">
        <f t="shared" si="48"/>
        <v/>
      </c>
      <c r="Y148" s="57"/>
      <c r="Z148" s="50" t="str">
        <f t="shared" si="41"/>
        <v/>
      </c>
      <c r="AA148" s="52" t="str">
        <f t="shared" si="46"/>
        <v/>
      </c>
      <c r="AB148" s="53" t="str">
        <f t="shared" si="47"/>
        <v/>
      </c>
      <c r="AC148" s="41"/>
      <c r="AD148" s="58"/>
      <c r="AE148" s="54"/>
      <c r="AF148" s="54"/>
      <c r="AG148" s="54"/>
      <c r="AH148" s="115" t="str">
        <f t="shared" si="42"/>
        <v/>
      </c>
      <c r="AI148" s="114" t="str">
        <f t="shared" si="43"/>
        <v/>
      </c>
      <c r="AJ148" s="116" t="str">
        <f t="shared" si="44"/>
        <v/>
      </c>
      <c r="AK148" s="98" t="str">
        <f t="shared" si="45"/>
        <v/>
      </c>
      <c r="AL148" s="79"/>
      <c r="AM148" s="17"/>
      <c r="AN148" s="17"/>
      <c r="AO148" s="17"/>
      <c r="AP148" s="17"/>
      <c r="AQ148" s="17"/>
    </row>
    <row r="149" spans="1:43">
      <c r="A149" s="64"/>
      <c r="B149" s="122"/>
      <c r="C149" s="118"/>
      <c r="D149" s="39"/>
      <c r="E149" s="40"/>
      <c r="F149" s="41"/>
      <c r="G149" s="42"/>
      <c r="H149" s="42"/>
      <c r="I149" s="59"/>
      <c r="J149" s="43"/>
      <c r="K149" s="44"/>
      <c r="L149" s="45"/>
      <c r="M149" s="74"/>
      <c r="N149" s="55"/>
      <c r="O149" s="55"/>
      <c r="P149" s="55"/>
      <c r="Q149" s="46"/>
      <c r="R149" s="47" t="str">
        <f t="shared" si="39"/>
        <v/>
      </c>
      <c r="S149" s="48"/>
      <c r="T149" s="49"/>
      <c r="U149" s="56"/>
      <c r="V149" s="58"/>
      <c r="W149" s="50" t="str">
        <f t="shared" si="40"/>
        <v/>
      </c>
      <c r="X149" s="51" t="str">
        <f t="shared" si="48"/>
        <v/>
      </c>
      <c r="Y149" s="57"/>
      <c r="Z149" s="50" t="str">
        <f t="shared" si="41"/>
        <v/>
      </c>
      <c r="AA149" s="52" t="str">
        <f t="shared" si="46"/>
        <v/>
      </c>
      <c r="AB149" s="53" t="str">
        <f t="shared" si="47"/>
        <v/>
      </c>
      <c r="AC149" s="41"/>
      <c r="AD149" s="58"/>
      <c r="AE149" s="54"/>
      <c r="AF149" s="54"/>
      <c r="AG149" s="54"/>
      <c r="AH149" s="115" t="str">
        <f t="shared" si="42"/>
        <v/>
      </c>
      <c r="AI149" s="114" t="str">
        <f t="shared" si="43"/>
        <v/>
      </c>
      <c r="AJ149" s="116" t="str">
        <f t="shared" si="44"/>
        <v/>
      </c>
      <c r="AK149" s="98" t="str">
        <f t="shared" si="45"/>
        <v/>
      </c>
      <c r="AL149" s="79"/>
      <c r="AM149" s="17"/>
      <c r="AN149" s="17"/>
      <c r="AO149" s="17"/>
      <c r="AP149" s="17"/>
      <c r="AQ149" s="17"/>
    </row>
    <row r="150" spans="1:43">
      <c r="A150" s="64"/>
      <c r="B150" s="122"/>
      <c r="C150" s="118"/>
      <c r="D150" s="39"/>
      <c r="E150" s="40"/>
      <c r="F150" s="41"/>
      <c r="G150" s="42"/>
      <c r="H150" s="42"/>
      <c r="I150" s="59"/>
      <c r="J150" s="43"/>
      <c r="K150" s="44"/>
      <c r="L150" s="45"/>
      <c r="M150" s="74"/>
      <c r="N150" s="55"/>
      <c r="O150" s="55"/>
      <c r="P150" s="55"/>
      <c r="Q150" s="46"/>
      <c r="R150" s="47" t="str">
        <f t="shared" si="39"/>
        <v/>
      </c>
      <c r="S150" s="48"/>
      <c r="T150" s="49"/>
      <c r="U150" s="56"/>
      <c r="V150" s="58"/>
      <c r="W150" s="50" t="str">
        <f t="shared" si="40"/>
        <v/>
      </c>
      <c r="X150" s="51" t="str">
        <f t="shared" si="48"/>
        <v/>
      </c>
      <c r="Y150" s="57"/>
      <c r="Z150" s="50" t="str">
        <f t="shared" si="41"/>
        <v/>
      </c>
      <c r="AA150" s="52" t="str">
        <f t="shared" si="46"/>
        <v/>
      </c>
      <c r="AB150" s="53" t="str">
        <f t="shared" si="47"/>
        <v/>
      </c>
      <c r="AC150" s="41"/>
      <c r="AD150" s="58"/>
      <c r="AE150" s="54"/>
      <c r="AF150" s="54"/>
      <c r="AG150" s="54"/>
      <c r="AH150" s="115" t="str">
        <f t="shared" si="42"/>
        <v/>
      </c>
      <c r="AI150" s="114" t="str">
        <f t="shared" si="43"/>
        <v/>
      </c>
      <c r="AJ150" s="116" t="str">
        <f t="shared" si="44"/>
        <v/>
      </c>
      <c r="AK150" s="98" t="str">
        <f t="shared" si="45"/>
        <v/>
      </c>
      <c r="AL150" s="79"/>
      <c r="AM150" s="17"/>
      <c r="AN150" s="17"/>
      <c r="AO150" s="17"/>
      <c r="AP150" s="17"/>
      <c r="AQ150" s="17"/>
    </row>
    <row r="151" spans="1:43">
      <c r="A151" s="64"/>
      <c r="B151" s="122"/>
      <c r="C151" s="118"/>
      <c r="D151" s="39"/>
      <c r="E151" s="40"/>
      <c r="F151" s="41"/>
      <c r="G151" s="42"/>
      <c r="H151" s="42"/>
      <c r="I151" s="59"/>
      <c r="J151" s="43"/>
      <c r="K151" s="44"/>
      <c r="L151" s="45"/>
      <c r="M151" s="74"/>
      <c r="N151" s="55"/>
      <c r="O151" s="55"/>
      <c r="P151" s="55"/>
      <c r="Q151" s="46"/>
      <c r="R151" s="47" t="str">
        <f t="shared" si="39"/>
        <v/>
      </c>
      <c r="S151" s="48"/>
      <c r="T151" s="49"/>
      <c r="U151" s="56"/>
      <c r="V151" s="58"/>
      <c r="W151" s="50" t="str">
        <f t="shared" si="40"/>
        <v/>
      </c>
      <c r="X151" s="51" t="str">
        <f t="shared" si="48"/>
        <v/>
      </c>
      <c r="Y151" s="57"/>
      <c r="Z151" s="50" t="str">
        <f t="shared" si="41"/>
        <v/>
      </c>
      <c r="AA151" s="52" t="str">
        <f t="shared" si="46"/>
        <v/>
      </c>
      <c r="AB151" s="53" t="str">
        <f t="shared" si="47"/>
        <v/>
      </c>
      <c r="AC151" s="41"/>
      <c r="AD151" s="58"/>
      <c r="AE151" s="54"/>
      <c r="AF151" s="54"/>
      <c r="AG151" s="54"/>
      <c r="AH151" s="115" t="str">
        <f t="shared" si="42"/>
        <v/>
      </c>
      <c r="AI151" s="114" t="str">
        <f t="shared" si="43"/>
        <v/>
      </c>
      <c r="AJ151" s="116" t="str">
        <f t="shared" si="44"/>
        <v/>
      </c>
      <c r="AK151" s="98" t="str">
        <f t="shared" si="45"/>
        <v/>
      </c>
      <c r="AL151" s="79"/>
      <c r="AM151" s="17"/>
      <c r="AN151" s="17"/>
      <c r="AO151" s="17"/>
      <c r="AP151" s="17"/>
      <c r="AQ151" s="17"/>
    </row>
    <row r="152" spans="1:43">
      <c r="A152" s="64"/>
      <c r="B152" s="122"/>
      <c r="C152" s="118"/>
      <c r="D152" s="39"/>
      <c r="E152" s="40"/>
      <c r="F152" s="41"/>
      <c r="G152" s="42"/>
      <c r="H152" s="42"/>
      <c r="I152" s="59"/>
      <c r="J152" s="43"/>
      <c r="K152" s="44"/>
      <c r="L152" s="45"/>
      <c r="M152" s="74"/>
      <c r="N152" s="55"/>
      <c r="O152" s="55"/>
      <c r="P152" s="55"/>
      <c r="Q152" s="46"/>
      <c r="R152" s="47" t="str">
        <f t="shared" si="39"/>
        <v/>
      </c>
      <c r="S152" s="48"/>
      <c r="T152" s="49"/>
      <c r="U152" s="56"/>
      <c r="V152" s="58"/>
      <c r="W152" s="50" t="str">
        <f t="shared" si="40"/>
        <v/>
      </c>
      <c r="X152" s="51" t="str">
        <f t="shared" si="48"/>
        <v/>
      </c>
      <c r="Y152" s="57"/>
      <c r="Z152" s="50" t="str">
        <f t="shared" si="41"/>
        <v/>
      </c>
      <c r="AA152" s="52" t="str">
        <f t="shared" si="46"/>
        <v/>
      </c>
      <c r="AB152" s="53" t="str">
        <f t="shared" si="47"/>
        <v/>
      </c>
      <c r="AC152" s="41"/>
      <c r="AD152" s="58"/>
      <c r="AE152" s="54"/>
      <c r="AF152" s="54"/>
      <c r="AG152" s="54"/>
      <c r="AH152" s="115" t="str">
        <f t="shared" si="42"/>
        <v/>
      </c>
      <c r="AI152" s="114" t="str">
        <f t="shared" si="43"/>
        <v/>
      </c>
      <c r="AJ152" s="116" t="str">
        <f t="shared" si="44"/>
        <v/>
      </c>
      <c r="AK152" s="98" t="str">
        <f t="shared" si="45"/>
        <v/>
      </c>
      <c r="AL152" s="79"/>
      <c r="AM152" s="17"/>
      <c r="AN152" s="17"/>
      <c r="AO152" s="17"/>
      <c r="AP152" s="17"/>
      <c r="AQ152" s="17"/>
    </row>
    <row r="153" spans="1:43">
      <c r="A153" s="64"/>
      <c r="B153" s="122"/>
      <c r="C153" s="118"/>
      <c r="D153" s="39"/>
      <c r="E153" s="40"/>
      <c r="F153" s="41"/>
      <c r="G153" s="42"/>
      <c r="H153" s="42"/>
      <c r="I153" s="59"/>
      <c r="J153" s="43"/>
      <c r="K153" s="44"/>
      <c r="L153" s="45"/>
      <c r="M153" s="74"/>
      <c r="N153" s="55"/>
      <c r="O153" s="55"/>
      <c r="P153" s="55"/>
      <c r="Q153" s="46"/>
      <c r="R153" s="47" t="str">
        <f t="shared" si="39"/>
        <v/>
      </c>
      <c r="S153" s="48"/>
      <c r="T153" s="49"/>
      <c r="U153" s="56"/>
      <c r="V153" s="58"/>
      <c r="W153" s="50" t="str">
        <f t="shared" si="40"/>
        <v/>
      </c>
      <c r="X153" s="51" t="str">
        <f t="shared" si="48"/>
        <v/>
      </c>
      <c r="Y153" s="57"/>
      <c r="Z153" s="50" t="str">
        <f t="shared" si="41"/>
        <v/>
      </c>
      <c r="AA153" s="52" t="str">
        <f t="shared" si="46"/>
        <v/>
      </c>
      <c r="AB153" s="53" t="str">
        <f t="shared" si="47"/>
        <v/>
      </c>
      <c r="AC153" s="41"/>
      <c r="AD153" s="58"/>
      <c r="AE153" s="54"/>
      <c r="AF153" s="54"/>
      <c r="AG153" s="54"/>
      <c r="AH153" s="115" t="str">
        <f t="shared" si="42"/>
        <v/>
      </c>
      <c r="AI153" s="114" t="str">
        <f t="shared" si="43"/>
        <v/>
      </c>
      <c r="AJ153" s="116" t="str">
        <f t="shared" si="44"/>
        <v/>
      </c>
      <c r="AK153" s="98" t="str">
        <f t="shared" si="45"/>
        <v/>
      </c>
      <c r="AL153" s="79"/>
      <c r="AM153" s="17"/>
      <c r="AN153" s="17"/>
      <c r="AO153" s="17"/>
      <c r="AP153" s="17"/>
      <c r="AQ153" s="17"/>
    </row>
    <row r="154" spans="1:43">
      <c r="A154" s="64"/>
      <c r="B154" s="122"/>
      <c r="C154" s="118"/>
      <c r="D154" s="39"/>
      <c r="E154" s="40"/>
      <c r="F154" s="41"/>
      <c r="G154" s="42"/>
      <c r="H154" s="42"/>
      <c r="I154" s="59"/>
      <c r="J154" s="43"/>
      <c r="K154" s="44"/>
      <c r="L154" s="45"/>
      <c r="M154" s="74"/>
      <c r="N154" s="55"/>
      <c r="O154" s="55"/>
      <c r="P154" s="55"/>
      <c r="Q154" s="46"/>
      <c r="R154" s="47" t="str">
        <f t="shared" si="39"/>
        <v/>
      </c>
      <c r="S154" s="48"/>
      <c r="T154" s="49"/>
      <c r="U154" s="56"/>
      <c r="V154" s="58"/>
      <c r="W154" s="50" t="str">
        <f t="shared" si="40"/>
        <v/>
      </c>
      <c r="X154" s="51" t="str">
        <f t="shared" si="48"/>
        <v/>
      </c>
      <c r="Y154" s="57"/>
      <c r="Z154" s="50" t="str">
        <f t="shared" si="41"/>
        <v/>
      </c>
      <c r="AA154" s="52" t="str">
        <f t="shared" si="46"/>
        <v/>
      </c>
      <c r="AB154" s="53" t="str">
        <f t="shared" si="47"/>
        <v/>
      </c>
      <c r="AC154" s="41"/>
      <c r="AD154" s="58"/>
      <c r="AE154" s="54"/>
      <c r="AF154" s="54"/>
      <c r="AG154" s="54"/>
      <c r="AH154" s="115" t="str">
        <f t="shared" si="42"/>
        <v/>
      </c>
      <c r="AI154" s="114" t="str">
        <f t="shared" si="43"/>
        <v/>
      </c>
      <c r="AJ154" s="116" t="str">
        <f t="shared" si="44"/>
        <v/>
      </c>
      <c r="AK154" s="98" t="str">
        <f t="shared" si="45"/>
        <v/>
      </c>
      <c r="AL154" s="79"/>
      <c r="AM154" s="17"/>
      <c r="AN154" s="17"/>
      <c r="AO154" s="17"/>
      <c r="AP154" s="17"/>
      <c r="AQ154" s="17"/>
    </row>
    <row r="155" spans="1:43">
      <c r="A155" s="64"/>
      <c r="B155" s="122"/>
      <c r="C155" s="118"/>
      <c r="D155" s="39"/>
      <c r="E155" s="40"/>
      <c r="F155" s="41"/>
      <c r="G155" s="42"/>
      <c r="H155" s="42"/>
      <c r="I155" s="59"/>
      <c r="J155" s="43"/>
      <c r="K155" s="44"/>
      <c r="L155" s="45"/>
      <c r="M155" s="74"/>
      <c r="N155" s="55"/>
      <c r="O155" s="55"/>
      <c r="P155" s="55"/>
      <c r="Q155" s="46"/>
      <c r="R155" s="47" t="str">
        <f t="shared" si="39"/>
        <v/>
      </c>
      <c r="S155" s="48"/>
      <c r="T155" s="49"/>
      <c r="U155" s="56"/>
      <c r="V155" s="58"/>
      <c r="W155" s="50" t="str">
        <f t="shared" si="40"/>
        <v/>
      </c>
      <c r="X155" s="51" t="str">
        <f t="shared" si="48"/>
        <v/>
      </c>
      <c r="Y155" s="57"/>
      <c r="Z155" s="50" t="str">
        <f t="shared" si="41"/>
        <v/>
      </c>
      <c r="AA155" s="52" t="str">
        <f t="shared" si="46"/>
        <v/>
      </c>
      <c r="AB155" s="53" t="str">
        <f t="shared" si="47"/>
        <v/>
      </c>
      <c r="AC155" s="41"/>
      <c r="AD155" s="58"/>
      <c r="AE155" s="54"/>
      <c r="AF155" s="54"/>
      <c r="AG155" s="54"/>
      <c r="AH155" s="115" t="str">
        <f t="shared" si="42"/>
        <v/>
      </c>
      <c r="AI155" s="114" t="str">
        <f t="shared" si="43"/>
        <v/>
      </c>
      <c r="AJ155" s="116" t="str">
        <f t="shared" si="44"/>
        <v/>
      </c>
      <c r="AK155" s="98" t="str">
        <f t="shared" si="45"/>
        <v/>
      </c>
      <c r="AL155" s="79"/>
      <c r="AM155" s="17"/>
      <c r="AN155" s="17"/>
      <c r="AO155" s="17"/>
      <c r="AP155" s="17"/>
      <c r="AQ155" s="17"/>
    </row>
    <row r="156" spans="1:43">
      <c r="A156" s="64"/>
      <c r="B156" s="122"/>
      <c r="C156" s="118"/>
      <c r="D156" s="39"/>
      <c r="E156" s="40"/>
      <c r="F156" s="41"/>
      <c r="G156" s="42"/>
      <c r="H156" s="42"/>
      <c r="I156" s="59"/>
      <c r="J156" s="43"/>
      <c r="K156" s="44"/>
      <c r="L156" s="45"/>
      <c r="M156" s="74"/>
      <c r="N156" s="55"/>
      <c r="O156" s="55"/>
      <c r="P156" s="55"/>
      <c r="Q156" s="46"/>
      <c r="R156" s="47" t="str">
        <f t="shared" si="39"/>
        <v/>
      </c>
      <c r="S156" s="48"/>
      <c r="T156" s="49"/>
      <c r="U156" s="56"/>
      <c r="V156" s="58"/>
      <c r="W156" s="50" t="str">
        <f t="shared" si="40"/>
        <v/>
      </c>
      <c r="X156" s="51" t="str">
        <f t="shared" si="48"/>
        <v/>
      </c>
      <c r="Y156" s="57"/>
      <c r="Z156" s="50" t="str">
        <f t="shared" si="41"/>
        <v/>
      </c>
      <c r="AA156" s="52" t="str">
        <f t="shared" si="46"/>
        <v/>
      </c>
      <c r="AB156" s="53" t="str">
        <f t="shared" si="47"/>
        <v/>
      </c>
      <c r="AC156" s="41"/>
      <c r="AD156" s="58"/>
      <c r="AE156" s="54"/>
      <c r="AF156" s="54"/>
      <c r="AG156" s="54"/>
      <c r="AH156" s="115" t="str">
        <f t="shared" si="42"/>
        <v/>
      </c>
      <c r="AI156" s="114" t="str">
        <f t="shared" si="43"/>
        <v/>
      </c>
      <c r="AJ156" s="116" t="str">
        <f t="shared" si="44"/>
        <v/>
      </c>
      <c r="AK156" s="98" t="str">
        <f t="shared" si="45"/>
        <v/>
      </c>
      <c r="AL156" s="79"/>
      <c r="AM156" s="17"/>
      <c r="AN156" s="17"/>
      <c r="AO156" s="17"/>
      <c r="AP156" s="17"/>
      <c r="AQ156" s="17"/>
    </row>
    <row r="157" spans="1:43">
      <c r="A157" s="64"/>
      <c r="B157" s="122"/>
      <c r="C157" s="118"/>
      <c r="D157" s="39"/>
      <c r="E157" s="40"/>
      <c r="F157" s="41"/>
      <c r="G157" s="42"/>
      <c r="H157" s="42"/>
      <c r="I157" s="59"/>
      <c r="J157" s="43"/>
      <c r="K157" s="44"/>
      <c r="L157" s="45"/>
      <c r="M157" s="74"/>
      <c r="N157" s="55"/>
      <c r="O157" s="55"/>
      <c r="P157" s="55"/>
      <c r="Q157" s="46"/>
      <c r="R157" s="47" t="str">
        <f t="shared" si="39"/>
        <v/>
      </c>
      <c r="S157" s="48"/>
      <c r="T157" s="49"/>
      <c r="U157" s="56"/>
      <c r="V157" s="58"/>
      <c r="W157" s="50" t="str">
        <f t="shared" si="40"/>
        <v/>
      </c>
      <c r="X157" s="51" t="str">
        <f t="shared" si="48"/>
        <v/>
      </c>
      <c r="Y157" s="57"/>
      <c r="Z157" s="50" t="str">
        <f t="shared" si="41"/>
        <v/>
      </c>
      <c r="AA157" s="52" t="str">
        <f t="shared" si="46"/>
        <v/>
      </c>
      <c r="AB157" s="53" t="str">
        <f t="shared" si="47"/>
        <v/>
      </c>
      <c r="AC157" s="41"/>
      <c r="AD157" s="58"/>
      <c r="AE157" s="54"/>
      <c r="AF157" s="54"/>
      <c r="AG157" s="54"/>
      <c r="AH157" s="115" t="str">
        <f t="shared" si="42"/>
        <v/>
      </c>
      <c r="AI157" s="114" t="str">
        <f t="shared" si="43"/>
        <v/>
      </c>
      <c r="AJ157" s="116" t="str">
        <f t="shared" si="44"/>
        <v/>
      </c>
      <c r="AK157" s="98" t="str">
        <f t="shared" si="45"/>
        <v/>
      </c>
      <c r="AL157" s="79"/>
      <c r="AM157" s="17"/>
      <c r="AN157" s="17"/>
      <c r="AO157" s="17"/>
      <c r="AP157" s="17"/>
      <c r="AQ157" s="17"/>
    </row>
    <row r="158" spans="1:43">
      <c r="A158" s="64"/>
      <c r="B158" s="122"/>
      <c r="C158" s="118"/>
      <c r="D158" s="39"/>
      <c r="E158" s="40"/>
      <c r="F158" s="41"/>
      <c r="G158" s="42"/>
      <c r="H158" s="42"/>
      <c r="I158" s="59"/>
      <c r="J158" s="43"/>
      <c r="K158" s="44"/>
      <c r="L158" s="45"/>
      <c r="M158" s="74"/>
      <c r="N158" s="55"/>
      <c r="O158" s="55"/>
      <c r="P158" s="55"/>
      <c r="Q158" s="46"/>
      <c r="R158" s="47" t="str">
        <f t="shared" si="39"/>
        <v/>
      </c>
      <c r="S158" s="48"/>
      <c r="T158" s="49"/>
      <c r="U158" s="56"/>
      <c r="V158" s="58"/>
      <c r="W158" s="50" t="str">
        <f t="shared" si="40"/>
        <v/>
      </c>
      <c r="X158" s="51" t="str">
        <f t="shared" si="48"/>
        <v/>
      </c>
      <c r="Y158" s="57"/>
      <c r="Z158" s="50" t="str">
        <f t="shared" si="41"/>
        <v/>
      </c>
      <c r="AA158" s="52" t="str">
        <f t="shared" si="46"/>
        <v/>
      </c>
      <c r="AB158" s="53" t="str">
        <f t="shared" si="47"/>
        <v/>
      </c>
      <c r="AC158" s="41"/>
      <c r="AD158" s="58"/>
      <c r="AE158" s="54"/>
      <c r="AF158" s="54"/>
      <c r="AG158" s="54"/>
      <c r="AH158" s="115" t="str">
        <f t="shared" si="42"/>
        <v/>
      </c>
      <c r="AI158" s="114" t="str">
        <f t="shared" si="43"/>
        <v/>
      </c>
      <c r="AJ158" s="116" t="str">
        <f t="shared" si="44"/>
        <v/>
      </c>
      <c r="AK158" s="98" t="str">
        <f t="shared" si="45"/>
        <v/>
      </c>
      <c r="AL158" s="79"/>
      <c r="AM158" s="17"/>
      <c r="AN158" s="17"/>
      <c r="AO158" s="17"/>
      <c r="AP158" s="17"/>
      <c r="AQ158" s="17"/>
    </row>
    <row r="159" spans="1:43">
      <c r="A159" s="64"/>
      <c r="B159" s="122"/>
      <c r="C159" s="118"/>
      <c r="D159" s="39"/>
      <c r="E159" s="40"/>
      <c r="F159" s="41"/>
      <c r="G159" s="42"/>
      <c r="H159" s="42"/>
      <c r="I159" s="59"/>
      <c r="J159" s="43"/>
      <c r="K159" s="44"/>
      <c r="L159" s="45"/>
      <c r="M159" s="74"/>
      <c r="N159" s="55"/>
      <c r="O159" s="55"/>
      <c r="P159" s="55"/>
      <c r="Q159" s="46"/>
      <c r="R159" s="47" t="str">
        <f t="shared" si="39"/>
        <v/>
      </c>
      <c r="S159" s="48"/>
      <c r="T159" s="49"/>
      <c r="U159" s="56"/>
      <c r="V159" s="58"/>
      <c r="W159" s="50" t="str">
        <f t="shared" si="40"/>
        <v/>
      </c>
      <c r="X159" s="51" t="str">
        <f t="shared" si="48"/>
        <v/>
      </c>
      <c r="Y159" s="57"/>
      <c r="Z159" s="50" t="str">
        <f t="shared" si="41"/>
        <v/>
      </c>
      <c r="AA159" s="52" t="str">
        <f t="shared" si="46"/>
        <v/>
      </c>
      <c r="AB159" s="53" t="str">
        <f t="shared" si="47"/>
        <v/>
      </c>
      <c r="AC159" s="41"/>
      <c r="AD159" s="58"/>
      <c r="AE159" s="54"/>
      <c r="AF159" s="54"/>
      <c r="AG159" s="54"/>
      <c r="AH159" s="115" t="str">
        <f t="shared" si="42"/>
        <v/>
      </c>
      <c r="AI159" s="114" t="str">
        <f t="shared" si="43"/>
        <v/>
      </c>
      <c r="AJ159" s="116" t="str">
        <f t="shared" si="44"/>
        <v/>
      </c>
      <c r="AK159" s="98" t="str">
        <f t="shared" si="45"/>
        <v/>
      </c>
      <c r="AL159" s="79"/>
      <c r="AM159" s="17"/>
      <c r="AN159" s="17"/>
      <c r="AO159" s="17"/>
      <c r="AP159" s="17"/>
      <c r="AQ159" s="17"/>
    </row>
    <row r="160" spans="1:43">
      <c r="A160" s="64"/>
      <c r="B160" s="122"/>
      <c r="C160" s="118"/>
      <c r="D160" s="39"/>
      <c r="E160" s="40"/>
      <c r="F160" s="41"/>
      <c r="G160" s="42"/>
      <c r="H160" s="42"/>
      <c r="I160" s="59"/>
      <c r="J160" s="43"/>
      <c r="K160" s="44"/>
      <c r="L160" s="45"/>
      <c r="M160" s="74"/>
      <c r="N160" s="55"/>
      <c r="O160" s="55"/>
      <c r="P160" s="55"/>
      <c r="Q160" s="46"/>
      <c r="R160" s="47" t="str">
        <f t="shared" si="39"/>
        <v/>
      </c>
      <c r="S160" s="48"/>
      <c r="T160" s="49"/>
      <c r="U160" s="56"/>
      <c r="V160" s="58"/>
      <c r="W160" s="50" t="str">
        <f t="shared" si="40"/>
        <v/>
      </c>
      <c r="X160" s="51" t="str">
        <f t="shared" si="48"/>
        <v/>
      </c>
      <c r="Y160" s="57"/>
      <c r="Z160" s="50" t="str">
        <f t="shared" si="41"/>
        <v/>
      </c>
      <c r="AA160" s="52" t="str">
        <f t="shared" si="46"/>
        <v/>
      </c>
      <c r="AB160" s="53" t="str">
        <f t="shared" si="47"/>
        <v/>
      </c>
      <c r="AC160" s="41"/>
      <c r="AD160" s="58"/>
      <c r="AE160" s="54"/>
      <c r="AF160" s="54"/>
      <c r="AG160" s="54"/>
      <c r="AH160" s="115" t="str">
        <f t="shared" si="42"/>
        <v/>
      </c>
      <c r="AI160" s="114" t="str">
        <f t="shared" si="43"/>
        <v/>
      </c>
      <c r="AJ160" s="116" t="str">
        <f t="shared" si="44"/>
        <v/>
      </c>
      <c r="AK160" s="98" t="str">
        <f t="shared" si="45"/>
        <v/>
      </c>
      <c r="AL160" s="79"/>
      <c r="AM160" s="17"/>
      <c r="AN160" s="17"/>
      <c r="AO160" s="17"/>
      <c r="AP160" s="17"/>
      <c r="AQ160" s="17"/>
    </row>
    <row r="161" spans="1:43">
      <c r="A161" s="64"/>
      <c r="B161" s="122"/>
      <c r="C161" s="118"/>
      <c r="D161" s="39"/>
      <c r="E161" s="40"/>
      <c r="F161" s="41"/>
      <c r="G161" s="42"/>
      <c r="H161" s="42"/>
      <c r="I161" s="59"/>
      <c r="J161" s="43"/>
      <c r="K161" s="44"/>
      <c r="L161" s="45"/>
      <c r="M161" s="74"/>
      <c r="N161" s="55"/>
      <c r="O161" s="55"/>
      <c r="P161" s="55"/>
      <c r="Q161" s="46"/>
      <c r="R161" s="47" t="str">
        <f t="shared" si="39"/>
        <v/>
      </c>
      <c r="S161" s="48"/>
      <c r="T161" s="49"/>
      <c r="U161" s="56"/>
      <c r="V161" s="58"/>
      <c r="W161" s="50" t="str">
        <f t="shared" si="40"/>
        <v/>
      </c>
      <c r="X161" s="51" t="str">
        <f t="shared" si="48"/>
        <v/>
      </c>
      <c r="Y161" s="57"/>
      <c r="Z161" s="50" t="str">
        <f t="shared" si="41"/>
        <v/>
      </c>
      <c r="AA161" s="52" t="str">
        <f t="shared" si="46"/>
        <v/>
      </c>
      <c r="AB161" s="53" t="str">
        <f t="shared" si="47"/>
        <v/>
      </c>
      <c r="AC161" s="41"/>
      <c r="AD161" s="58"/>
      <c r="AE161" s="54"/>
      <c r="AF161" s="54"/>
      <c r="AG161" s="54"/>
      <c r="AH161" s="115" t="str">
        <f t="shared" si="42"/>
        <v/>
      </c>
      <c r="AI161" s="114" t="str">
        <f t="shared" si="43"/>
        <v/>
      </c>
      <c r="AJ161" s="116" t="str">
        <f t="shared" si="44"/>
        <v/>
      </c>
      <c r="AK161" s="98" t="str">
        <f t="shared" si="45"/>
        <v/>
      </c>
      <c r="AL161" s="79"/>
      <c r="AM161" s="17"/>
      <c r="AN161" s="17"/>
      <c r="AO161" s="17"/>
      <c r="AP161" s="17"/>
      <c r="AQ161" s="17"/>
    </row>
    <row r="162" spans="1:43">
      <c r="A162" s="64"/>
      <c r="B162" s="122"/>
      <c r="C162" s="118"/>
      <c r="D162" s="39"/>
      <c r="E162" s="40"/>
      <c r="F162" s="41"/>
      <c r="G162" s="42"/>
      <c r="H162" s="42"/>
      <c r="I162" s="59"/>
      <c r="J162" s="43"/>
      <c r="K162" s="44"/>
      <c r="L162" s="45"/>
      <c r="M162" s="74"/>
      <c r="N162" s="55"/>
      <c r="O162" s="55"/>
      <c r="P162" s="55"/>
      <c r="Q162" s="46"/>
      <c r="R162" s="47" t="str">
        <f t="shared" si="39"/>
        <v/>
      </c>
      <c r="S162" s="48"/>
      <c r="T162" s="49"/>
      <c r="U162" s="56"/>
      <c r="V162" s="58"/>
      <c r="W162" s="50" t="str">
        <f t="shared" si="40"/>
        <v/>
      </c>
      <c r="X162" s="51" t="str">
        <f t="shared" si="48"/>
        <v/>
      </c>
      <c r="Y162" s="57"/>
      <c r="Z162" s="50" t="str">
        <f t="shared" si="41"/>
        <v/>
      </c>
      <c r="AA162" s="52" t="str">
        <f t="shared" si="46"/>
        <v/>
      </c>
      <c r="AB162" s="53" t="str">
        <f t="shared" si="47"/>
        <v/>
      </c>
      <c r="AC162" s="41"/>
      <c r="AD162" s="58"/>
      <c r="AE162" s="54"/>
      <c r="AF162" s="54"/>
      <c r="AG162" s="54"/>
      <c r="AH162" s="115" t="str">
        <f t="shared" si="42"/>
        <v/>
      </c>
      <c r="AI162" s="114" t="str">
        <f t="shared" si="43"/>
        <v/>
      </c>
      <c r="AJ162" s="116" t="str">
        <f t="shared" si="44"/>
        <v/>
      </c>
      <c r="AK162" s="98" t="str">
        <f t="shared" si="45"/>
        <v/>
      </c>
      <c r="AL162" s="79"/>
      <c r="AM162" s="17"/>
      <c r="AN162" s="17"/>
      <c r="AO162" s="17"/>
      <c r="AP162" s="17"/>
      <c r="AQ162" s="17"/>
    </row>
    <row r="163" spans="1:43">
      <c r="A163" s="64"/>
      <c r="B163" s="122"/>
      <c r="C163" s="118"/>
      <c r="D163" s="39"/>
      <c r="E163" s="40"/>
      <c r="F163" s="41"/>
      <c r="G163" s="42"/>
      <c r="H163" s="42"/>
      <c r="I163" s="59"/>
      <c r="J163" s="43"/>
      <c r="K163" s="44"/>
      <c r="L163" s="45"/>
      <c r="M163" s="74"/>
      <c r="N163" s="55"/>
      <c r="O163" s="55"/>
      <c r="P163" s="55"/>
      <c r="Q163" s="46"/>
      <c r="R163" s="47" t="str">
        <f t="shared" si="39"/>
        <v/>
      </c>
      <c r="S163" s="48"/>
      <c r="T163" s="49"/>
      <c r="U163" s="56"/>
      <c r="V163" s="58"/>
      <c r="W163" s="50" t="str">
        <f t="shared" si="40"/>
        <v/>
      </c>
      <c r="X163" s="51" t="str">
        <f t="shared" si="48"/>
        <v/>
      </c>
      <c r="Y163" s="57"/>
      <c r="Z163" s="50" t="str">
        <f t="shared" si="41"/>
        <v/>
      </c>
      <c r="AA163" s="52" t="str">
        <f t="shared" si="46"/>
        <v/>
      </c>
      <c r="AB163" s="53" t="str">
        <f t="shared" si="47"/>
        <v/>
      </c>
      <c r="AC163" s="41"/>
      <c r="AD163" s="58"/>
      <c r="AE163" s="54"/>
      <c r="AF163" s="54"/>
      <c r="AG163" s="54"/>
      <c r="AH163" s="115" t="str">
        <f t="shared" si="42"/>
        <v/>
      </c>
      <c r="AI163" s="114" t="str">
        <f t="shared" si="43"/>
        <v/>
      </c>
      <c r="AJ163" s="116" t="str">
        <f t="shared" si="44"/>
        <v/>
      </c>
      <c r="AK163" s="98" t="str">
        <f t="shared" si="45"/>
        <v/>
      </c>
      <c r="AL163" s="79"/>
      <c r="AM163" s="17"/>
      <c r="AN163" s="17"/>
      <c r="AO163" s="17"/>
      <c r="AP163" s="17"/>
      <c r="AQ163" s="17"/>
    </row>
    <row r="164" spans="1:43">
      <c r="A164" s="64"/>
      <c r="B164" s="122"/>
      <c r="C164" s="118"/>
      <c r="D164" s="39"/>
      <c r="E164" s="40"/>
      <c r="F164" s="41"/>
      <c r="G164" s="42"/>
      <c r="H164" s="42"/>
      <c r="I164" s="59"/>
      <c r="J164" s="43"/>
      <c r="K164" s="44"/>
      <c r="L164" s="45"/>
      <c r="M164" s="74"/>
      <c r="N164" s="55"/>
      <c r="O164" s="55"/>
      <c r="P164" s="55"/>
      <c r="Q164" s="46"/>
      <c r="R164" s="47" t="str">
        <f t="shared" si="39"/>
        <v/>
      </c>
      <c r="S164" s="48"/>
      <c r="T164" s="49"/>
      <c r="U164" s="56"/>
      <c r="V164" s="58"/>
      <c r="W164" s="50" t="str">
        <f t="shared" si="40"/>
        <v/>
      </c>
      <c r="X164" s="51" t="str">
        <f t="shared" si="48"/>
        <v/>
      </c>
      <c r="Y164" s="57"/>
      <c r="Z164" s="50" t="str">
        <f t="shared" si="41"/>
        <v/>
      </c>
      <c r="AA164" s="52" t="str">
        <f t="shared" si="46"/>
        <v/>
      </c>
      <c r="AB164" s="53" t="str">
        <f t="shared" si="47"/>
        <v/>
      </c>
      <c r="AC164" s="41"/>
      <c r="AD164" s="58"/>
      <c r="AE164" s="54"/>
      <c r="AF164" s="54"/>
      <c r="AG164" s="54"/>
      <c r="AH164" s="115" t="str">
        <f t="shared" si="42"/>
        <v/>
      </c>
      <c r="AI164" s="114" t="str">
        <f t="shared" si="43"/>
        <v/>
      </c>
      <c r="AJ164" s="116" t="str">
        <f t="shared" si="44"/>
        <v/>
      </c>
      <c r="AK164" s="98" t="str">
        <f t="shared" si="45"/>
        <v/>
      </c>
      <c r="AL164" s="79"/>
      <c r="AM164" s="17"/>
      <c r="AN164" s="17"/>
      <c r="AO164" s="17"/>
      <c r="AP164" s="17"/>
      <c r="AQ164" s="17"/>
    </row>
    <row r="165" spans="1:43">
      <c r="A165" s="64"/>
      <c r="B165" s="122"/>
      <c r="C165" s="118"/>
      <c r="D165" s="39"/>
      <c r="E165" s="40"/>
      <c r="F165" s="41"/>
      <c r="G165" s="42"/>
      <c r="H165" s="42"/>
      <c r="I165" s="59"/>
      <c r="J165" s="43"/>
      <c r="K165" s="44"/>
      <c r="L165" s="45"/>
      <c r="M165" s="74"/>
      <c r="N165" s="55"/>
      <c r="O165" s="55"/>
      <c r="P165" s="55"/>
      <c r="Q165" s="46"/>
      <c r="R165" s="47" t="str">
        <f t="shared" si="39"/>
        <v/>
      </c>
      <c r="S165" s="48"/>
      <c r="T165" s="49"/>
      <c r="U165" s="56"/>
      <c r="V165" s="58"/>
      <c r="W165" s="50" t="str">
        <f t="shared" si="40"/>
        <v/>
      </c>
      <c r="X165" s="51" t="str">
        <f t="shared" si="48"/>
        <v/>
      </c>
      <c r="Y165" s="57"/>
      <c r="Z165" s="50" t="str">
        <f t="shared" si="41"/>
        <v/>
      </c>
      <c r="AA165" s="52" t="str">
        <f t="shared" si="46"/>
        <v/>
      </c>
      <c r="AB165" s="53" t="str">
        <f t="shared" si="47"/>
        <v/>
      </c>
      <c r="AC165" s="41"/>
      <c r="AD165" s="58"/>
      <c r="AE165" s="54"/>
      <c r="AF165" s="54"/>
      <c r="AG165" s="54"/>
      <c r="AH165" s="115" t="str">
        <f t="shared" si="42"/>
        <v/>
      </c>
      <c r="AI165" s="114" t="str">
        <f t="shared" si="43"/>
        <v/>
      </c>
      <c r="AJ165" s="116" t="str">
        <f t="shared" si="44"/>
        <v/>
      </c>
      <c r="AK165" s="98" t="str">
        <f t="shared" si="45"/>
        <v/>
      </c>
      <c r="AL165" s="79"/>
      <c r="AM165" s="17"/>
      <c r="AN165" s="17"/>
      <c r="AO165" s="17"/>
      <c r="AP165" s="17"/>
      <c r="AQ165" s="17"/>
    </row>
    <row r="166" spans="1:43">
      <c r="A166" s="64"/>
      <c r="B166" s="122"/>
      <c r="C166" s="118"/>
      <c r="D166" s="39"/>
      <c r="E166" s="40"/>
      <c r="F166" s="41"/>
      <c r="G166" s="42"/>
      <c r="H166" s="42"/>
      <c r="I166" s="59"/>
      <c r="J166" s="43"/>
      <c r="K166" s="44"/>
      <c r="L166" s="45"/>
      <c r="M166" s="74"/>
      <c r="N166" s="55"/>
      <c r="O166" s="55"/>
      <c r="P166" s="55"/>
      <c r="Q166" s="46"/>
      <c r="R166" s="47" t="str">
        <f t="shared" si="39"/>
        <v/>
      </c>
      <c r="S166" s="48"/>
      <c r="T166" s="49"/>
      <c r="U166" s="56"/>
      <c r="V166" s="58"/>
      <c r="W166" s="50" t="str">
        <f t="shared" si="40"/>
        <v/>
      </c>
      <c r="X166" s="51" t="str">
        <f t="shared" si="48"/>
        <v/>
      </c>
      <c r="Y166" s="57"/>
      <c r="Z166" s="50" t="str">
        <f t="shared" si="41"/>
        <v/>
      </c>
      <c r="AA166" s="52" t="str">
        <f t="shared" si="46"/>
        <v/>
      </c>
      <c r="AB166" s="53" t="str">
        <f t="shared" si="47"/>
        <v/>
      </c>
      <c r="AC166" s="41"/>
      <c r="AD166" s="58"/>
      <c r="AE166" s="54"/>
      <c r="AF166" s="54"/>
      <c r="AG166" s="54"/>
      <c r="AH166" s="115" t="str">
        <f t="shared" si="42"/>
        <v/>
      </c>
      <c r="AI166" s="114" t="str">
        <f t="shared" si="43"/>
        <v/>
      </c>
      <c r="AJ166" s="116" t="str">
        <f t="shared" si="44"/>
        <v/>
      </c>
      <c r="AK166" s="98" t="str">
        <f t="shared" si="45"/>
        <v/>
      </c>
      <c r="AL166" s="79"/>
      <c r="AM166" s="17"/>
      <c r="AN166" s="17"/>
      <c r="AO166" s="17"/>
      <c r="AP166" s="17"/>
      <c r="AQ166" s="17"/>
    </row>
    <row r="167" spans="1:43">
      <c r="A167" s="64"/>
      <c r="B167" s="122"/>
      <c r="C167" s="118"/>
      <c r="D167" s="39"/>
      <c r="E167" s="40"/>
      <c r="F167" s="41"/>
      <c r="G167" s="42"/>
      <c r="H167" s="42"/>
      <c r="I167" s="59"/>
      <c r="J167" s="43"/>
      <c r="K167" s="44"/>
      <c r="L167" s="45"/>
      <c r="M167" s="74"/>
      <c r="N167" s="55"/>
      <c r="O167" s="55"/>
      <c r="P167" s="55"/>
      <c r="Q167" s="46"/>
      <c r="R167" s="47" t="str">
        <f t="shared" si="39"/>
        <v/>
      </c>
      <c r="S167" s="48"/>
      <c r="T167" s="49"/>
      <c r="U167" s="56"/>
      <c r="V167" s="58"/>
      <c r="W167" s="50" t="str">
        <f t="shared" si="40"/>
        <v/>
      </c>
      <c r="X167" s="51" t="str">
        <f t="shared" si="48"/>
        <v/>
      </c>
      <c r="Y167" s="57"/>
      <c r="Z167" s="50" t="str">
        <f t="shared" si="41"/>
        <v/>
      </c>
      <c r="AA167" s="52" t="str">
        <f t="shared" si="46"/>
        <v/>
      </c>
      <c r="AB167" s="53" t="str">
        <f t="shared" si="47"/>
        <v/>
      </c>
      <c r="AC167" s="41"/>
      <c r="AD167" s="58"/>
      <c r="AE167" s="54"/>
      <c r="AF167" s="54"/>
      <c r="AG167" s="54"/>
      <c r="AH167" s="115" t="str">
        <f t="shared" si="42"/>
        <v/>
      </c>
      <c r="AI167" s="114" t="str">
        <f t="shared" si="43"/>
        <v/>
      </c>
      <c r="AJ167" s="116" t="str">
        <f t="shared" si="44"/>
        <v/>
      </c>
      <c r="AK167" s="98" t="str">
        <f t="shared" si="45"/>
        <v/>
      </c>
      <c r="AL167" s="79"/>
      <c r="AM167" s="17"/>
      <c r="AN167" s="17"/>
      <c r="AO167" s="17"/>
      <c r="AP167" s="17"/>
      <c r="AQ167" s="17"/>
    </row>
    <row r="168" spans="1:43">
      <c r="A168" s="64"/>
      <c r="B168" s="122"/>
      <c r="C168" s="118"/>
      <c r="D168" s="39"/>
      <c r="E168" s="40"/>
      <c r="F168" s="41"/>
      <c r="G168" s="42"/>
      <c r="H168" s="42"/>
      <c r="I168" s="59"/>
      <c r="J168" s="43"/>
      <c r="K168" s="44"/>
      <c r="L168" s="45"/>
      <c r="M168" s="74"/>
      <c r="N168" s="55"/>
      <c r="O168" s="55"/>
      <c r="P168" s="55"/>
      <c r="Q168" s="46"/>
      <c r="R168" s="47" t="str">
        <f t="shared" si="39"/>
        <v/>
      </c>
      <c r="S168" s="48"/>
      <c r="T168" s="49"/>
      <c r="U168" s="56"/>
      <c r="V168" s="58"/>
      <c r="W168" s="50" t="str">
        <f t="shared" si="40"/>
        <v/>
      </c>
      <c r="X168" s="51" t="str">
        <f t="shared" si="48"/>
        <v/>
      </c>
      <c r="Y168" s="57"/>
      <c r="Z168" s="50" t="str">
        <f t="shared" si="41"/>
        <v/>
      </c>
      <c r="AA168" s="52" t="str">
        <f t="shared" si="46"/>
        <v/>
      </c>
      <c r="AB168" s="53" t="str">
        <f t="shared" si="47"/>
        <v/>
      </c>
      <c r="AC168" s="41"/>
      <c r="AD168" s="58"/>
      <c r="AE168" s="54"/>
      <c r="AF168" s="54"/>
      <c r="AG168" s="54"/>
      <c r="AH168" s="115" t="str">
        <f t="shared" si="42"/>
        <v/>
      </c>
      <c r="AI168" s="114" t="str">
        <f t="shared" si="43"/>
        <v/>
      </c>
      <c r="AJ168" s="116" t="str">
        <f t="shared" si="44"/>
        <v/>
      </c>
      <c r="AK168" s="98" t="str">
        <f t="shared" si="45"/>
        <v/>
      </c>
      <c r="AL168" s="79"/>
      <c r="AM168" s="17"/>
      <c r="AN168" s="17"/>
      <c r="AO168" s="17"/>
      <c r="AP168" s="17"/>
      <c r="AQ168" s="17"/>
    </row>
    <row r="169" spans="1:43">
      <c r="A169" s="64"/>
      <c r="B169" s="122"/>
      <c r="C169" s="118"/>
      <c r="D169" s="39"/>
      <c r="E169" s="40"/>
      <c r="F169" s="41"/>
      <c r="G169" s="42"/>
      <c r="H169" s="42"/>
      <c r="I169" s="59"/>
      <c r="J169" s="43"/>
      <c r="K169" s="44"/>
      <c r="L169" s="45"/>
      <c r="M169" s="74"/>
      <c r="N169" s="55"/>
      <c r="O169" s="55"/>
      <c r="P169" s="55"/>
      <c r="Q169" s="46"/>
      <c r="R169" s="47" t="str">
        <f t="shared" si="39"/>
        <v/>
      </c>
      <c r="S169" s="48"/>
      <c r="T169" s="49"/>
      <c r="U169" s="56"/>
      <c r="V169" s="58"/>
      <c r="W169" s="50" t="str">
        <f t="shared" si="40"/>
        <v/>
      </c>
      <c r="X169" s="51" t="str">
        <f t="shared" si="48"/>
        <v/>
      </c>
      <c r="Y169" s="57"/>
      <c r="Z169" s="50" t="str">
        <f t="shared" si="41"/>
        <v/>
      </c>
      <c r="AA169" s="52" t="str">
        <f t="shared" si="46"/>
        <v/>
      </c>
      <c r="AB169" s="53" t="str">
        <f t="shared" si="47"/>
        <v/>
      </c>
      <c r="AC169" s="41"/>
      <c r="AD169" s="58"/>
      <c r="AE169" s="54"/>
      <c r="AF169" s="54"/>
      <c r="AG169" s="54"/>
      <c r="AH169" s="115" t="str">
        <f t="shared" si="42"/>
        <v/>
      </c>
      <c r="AI169" s="114" t="str">
        <f t="shared" si="43"/>
        <v/>
      </c>
      <c r="AJ169" s="116" t="str">
        <f t="shared" si="44"/>
        <v/>
      </c>
      <c r="AK169" s="98" t="str">
        <f t="shared" si="45"/>
        <v/>
      </c>
      <c r="AL169" s="79"/>
      <c r="AM169" s="17"/>
      <c r="AN169" s="17"/>
      <c r="AO169" s="17"/>
      <c r="AP169" s="17"/>
      <c r="AQ169" s="17"/>
    </row>
    <row r="170" spans="1:43">
      <c r="A170" s="64"/>
      <c r="B170" s="122"/>
      <c r="C170" s="118"/>
      <c r="D170" s="39"/>
      <c r="E170" s="40"/>
      <c r="F170" s="41"/>
      <c r="G170" s="42"/>
      <c r="H170" s="42"/>
      <c r="I170" s="59"/>
      <c r="J170" s="43"/>
      <c r="K170" s="44"/>
      <c r="L170" s="45"/>
      <c r="M170" s="74"/>
      <c r="N170" s="55"/>
      <c r="O170" s="55"/>
      <c r="P170" s="55"/>
      <c r="Q170" s="46"/>
      <c r="R170" s="47" t="str">
        <f t="shared" si="39"/>
        <v/>
      </c>
      <c r="S170" s="48"/>
      <c r="T170" s="49"/>
      <c r="U170" s="56"/>
      <c r="V170" s="58"/>
      <c r="W170" s="50" t="str">
        <f t="shared" si="40"/>
        <v/>
      </c>
      <c r="X170" s="51" t="str">
        <f t="shared" si="48"/>
        <v/>
      </c>
      <c r="Y170" s="57"/>
      <c r="Z170" s="50" t="str">
        <f t="shared" si="41"/>
        <v/>
      </c>
      <c r="AA170" s="52" t="str">
        <f t="shared" si="46"/>
        <v/>
      </c>
      <c r="AB170" s="53" t="str">
        <f t="shared" si="47"/>
        <v/>
      </c>
      <c r="AC170" s="41"/>
      <c r="AD170" s="58"/>
      <c r="AE170" s="54"/>
      <c r="AF170" s="54"/>
      <c r="AG170" s="54"/>
      <c r="AH170" s="115" t="str">
        <f t="shared" si="42"/>
        <v/>
      </c>
      <c r="AI170" s="114" t="str">
        <f t="shared" si="43"/>
        <v/>
      </c>
      <c r="AJ170" s="116" t="str">
        <f t="shared" si="44"/>
        <v/>
      </c>
      <c r="AK170" s="98" t="str">
        <f t="shared" si="45"/>
        <v/>
      </c>
      <c r="AL170" s="79"/>
      <c r="AM170" s="17"/>
      <c r="AN170" s="17"/>
      <c r="AO170" s="17"/>
      <c r="AP170" s="17"/>
      <c r="AQ170" s="17"/>
    </row>
    <row r="171" spans="1:43">
      <c r="A171" s="64"/>
      <c r="B171" s="122"/>
      <c r="C171" s="118"/>
      <c r="D171" s="39"/>
      <c r="E171" s="40"/>
      <c r="F171" s="41"/>
      <c r="G171" s="42"/>
      <c r="H171" s="42"/>
      <c r="I171" s="59"/>
      <c r="J171" s="43"/>
      <c r="K171" s="44"/>
      <c r="L171" s="45"/>
      <c r="M171" s="74"/>
      <c r="N171" s="55"/>
      <c r="O171" s="55"/>
      <c r="P171" s="55"/>
      <c r="Q171" s="46"/>
      <c r="R171" s="47" t="str">
        <f t="shared" si="39"/>
        <v/>
      </c>
      <c r="S171" s="48"/>
      <c r="T171" s="49"/>
      <c r="U171" s="56"/>
      <c r="V171" s="58"/>
      <c r="W171" s="50" t="str">
        <f t="shared" si="40"/>
        <v/>
      </c>
      <c r="X171" s="51" t="str">
        <f t="shared" si="48"/>
        <v/>
      </c>
      <c r="Y171" s="57"/>
      <c r="Z171" s="50" t="str">
        <f t="shared" si="41"/>
        <v/>
      </c>
      <c r="AA171" s="52" t="str">
        <f t="shared" si="46"/>
        <v/>
      </c>
      <c r="AB171" s="53" t="str">
        <f t="shared" si="47"/>
        <v/>
      </c>
      <c r="AC171" s="41"/>
      <c r="AD171" s="58"/>
      <c r="AE171" s="54"/>
      <c r="AF171" s="54"/>
      <c r="AG171" s="54"/>
      <c r="AH171" s="115" t="str">
        <f t="shared" si="42"/>
        <v/>
      </c>
      <c r="AI171" s="114" t="str">
        <f t="shared" si="43"/>
        <v/>
      </c>
      <c r="AJ171" s="116" t="str">
        <f t="shared" si="44"/>
        <v/>
      </c>
      <c r="AK171" s="98" t="str">
        <f t="shared" si="45"/>
        <v/>
      </c>
      <c r="AL171" s="79"/>
      <c r="AM171" s="17"/>
      <c r="AN171" s="17"/>
      <c r="AO171" s="17"/>
      <c r="AP171" s="17"/>
      <c r="AQ171" s="17"/>
    </row>
    <row r="172" spans="1:43">
      <c r="A172" s="64"/>
      <c r="B172" s="122"/>
      <c r="C172" s="118"/>
      <c r="D172" s="39"/>
      <c r="E172" s="40"/>
      <c r="F172" s="41"/>
      <c r="G172" s="42"/>
      <c r="H172" s="42"/>
      <c r="I172" s="59"/>
      <c r="J172" s="43"/>
      <c r="K172" s="44"/>
      <c r="L172" s="45"/>
      <c r="M172" s="74"/>
      <c r="N172" s="55"/>
      <c r="O172" s="55"/>
      <c r="P172" s="55"/>
      <c r="Q172" s="46"/>
      <c r="R172" s="47" t="str">
        <f t="shared" si="39"/>
        <v/>
      </c>
      <c r="S172" s="48"/>
      <c r="T172" s="49"/>
      <c r="U172" s="56"/>
      <c r="V172" s="58"/>
      <c r="W172" s="50" t="str">
        <f t="shared" si="40"/>
        <v/>
      </c>
      <c r="X172" s="51" t="str">
        <f t="shared" si="48"/>
        <v/>
      </c>
      <c r="Y172" s="57"/>
      <c r="Z172" s="50" t="str">
        <f t="shared" si="41"/>
        <v/>
      </c>
      <c r="AA172" s="52" t="str">
        <f t="shared" si="46"/>
        <v/>
      </c>
      <c r="AB172" s="53" t="str">
        <f t="shared" si="47"/>
        <v/>
      </c>
      <c r="AC172" s="41"/>
      <c r="AD172" s="58"/>
      <c r="AE172" s="54"/>
      <c r="AF172" s="54"/>
      <c r="AG172" s="54"/>
      <c r="AH172" s="115" t="str">
        <f t="shared" si="42"/>
        <v/>
      </c>
      <c r="AI172" s="114" t="str">
        <f t="shared" si="43"/>
        <v/>
      </c>
      <c r="AJ172" s="116" t="str">
        <f t="shared" si="44"/>
        <v/>
      </c>
      <c r="AK172" s="98" t="str">
        <f t="shared" si="45"/>
        <v/>
      </c>
      <c r="AL172" s="79"/>
      <c r="AM172" s="17"/>
      <c r="AN172" s="17"/>
      <c r="AO172" s="17"/>
      <c r="AP172" s="17"/>
      <c r="AQ172" s="17"/>
    </row>
    <row r="173" spans="1:43">
      <c r="A173" s="64"/>
      <c r="B173" s="122"/>
      <c r="C173" s="118"/>
      <c r="D173" s="39"/>
      <c r="E173" s="40"/>
      <c r="F173" s="41"/>
      <c r="G173" s="42"/>
      <c r="H173" s="42"/>
      <c r="I173" s="59"/>
      <c r="J173" s="43"/>
      <c r="K173" s="44"/>
      <c r="L173" s="45"/>
      <c r="M173" s="74"/>
      <c r="N173" s="55"/>
      <c r="O173" s="55"/>
      <c r="P173" s="55"/>
      <c r="Q173" s="46"/>
      <c r="R173" s="47" t="str">
        <f t="shared" si="39"/>
        <v/>
      </c>
      <c r="S173" s="48"/>
      <c r="T173" s="49"/>
      <c r="U173" s="56"/>
      <c r="V173" s="58"/>
      <c r="W173" s="50" t="str">
        <f t="shared" si="40"/>
        <v/>
      </c>
      <c r="X173" s="51" t="str">
        <f t="shared" si="48"/>
        <v/>
      </c>
      <c r="Y173" s="57"/>
      <c r="Z173" s="50" t="str">
        <f t="shared" si="41"/>
        <v/>
      </c>
      <c r="AA173" s="52" t="str">
        <f t="shared" si="46"/>
        <v/>
      </c>
      <c r="AB173" s="53" t="str">
        <f t="shared" si="47"/>
        <v/>
      </c>
      <c r="AC173" s="41"/>
      <c r="AD173" s="58"/>
      <c r="AE173" s="54"/>
      <c r="AF173" s="54"/>
      <c r="AG173" s="54"/>
      <c r="AH173" s="115" t="str">
        <f t="shared" si="42"/>
        <v/>
      </c>
      <c r="AI173" s="114" t="str">
        <f t="shared" si="43"/>
        <v/>
      </c>
      <c r="AJ173" s="116" t="str">
        <f t="shared" si="44"/>
        <v/>
      </c>
      <c r="AK173" s="98" t="str">
        <f t="shared" si="45"/>
        <v/>
      </c>
      <c r="AL173" s="79"/>
      <c r="AM173" s="17"/>
      <c r="AN173" s="17"/>
      <c r="AO173" s="17"/>
      <c r="AP173" s="17"/>
      <c r="AQ173" s="17"/>
    </row>
    <row r="174" spans="1:43">
      <c r="A174" s="64"/>
      <c r="B174" s="122"/>
      <c r="C174" s="118"/>
      <c r="D174" s="39"/>
      <c r="E174" s="40"/>
      <c r="F174" s="41"/>
      <c r="G174" s="42"/>
      <c r="H174" s="42"/>
      <c r="I174" s="59"/>
      <c r="J174" s="43"/>
      <c r="K174" s="44"/>
      <c r="L174" s="45"/>
      <c r="M174" s="74"/>
      <c r="N174" s="55"/>
      <c r="O174" s="55"/>
      <c r="P174" s="55"/>
      <c r="Q174" s="46"/>
      <c r="R174" s="47" t="str">
        <f t="shared" si="39"/>
        <v/>
      </c>
      <c r="S174" s="48"/>
      <c r="T174" s="49"/>
      <c r="U174" s="56"/>
      <c r="V174" s="58"/>
      <c r="W174" s="50" t="str">
        <f t="shared" si="40"/>
        <v/>
      </c>
      <c r="X174" s="51" t="str">
        <f t="shared" si="48"/>
        <v/>
      </c>
      <c r="Y174" s="57"/>
      <c r="Z174" s="50" t="str">
        <f t="shared" si="41"/>
        <v/>
      </c>
      <c r="AA174" s="52" t="str">
        <f t="shared" si="46"/>
        <v/>
      </c>
      <c r="AB174" s="53" t="str">
        <f t="shared" si="47"/>
        <v/>
      </c>
      <c r="AC174" s="41"/>
      <c r="AD174" s="58"/>
      <c r="AE174" s="54"/>
      <c r="AF174" s="54"/>
      <c r="AG174" s="54"/>
      <c r="AH174" s="115" t="str">
        <f t="shared" si="42"/>
        <v/>
      </c>
      <c r="AI174" s="114" t="str">
        <f t="shared" si="43"/>
        <v/>
      </c>
      <c r="AJ174" s="116" t="str">
        <f t="shared" si="44"/>
        <v/>
      </c>
      <c r="AK174" s="98" t="str">
        <f t="shared" si="45"/>
        <v/>
      </c>
      <c r="AL174" s="79"/>
      <c r="AM174" s="17"/>
      <c r="AN174" s="17"/>
      <c r="AO174" s="17"/>
      <c r="AP174" s="17"/>
      <c r="AQ174" s="17"/>
    </row>
    <row r="175" spans="1:43">
      <c r="A175" s="64"/>
      <c r="B175" s="122"/>
      <c r="C175" s="118"/>
      <c r="D175" s="39"/>
      <c r="E175" s="40"/>
      <c r="F175" s="41"/>
      <c r="G175" s="42"/>
      <c r="H175" s="42"/>
      <c r="I175" s="59"/>
      <c r="J175" s="43"/>
      <c r="K175" s="44"/>
      <c r="L175" s="45"/>
      <c r="M175" s="74"/>
      <c r="N175" s="55"/>
      <c r="O175" s="55"/>
      <c r="P175" s="55"/>
      <c r="Q175" s="46"/>
      <c r="R175" s="47" t="str">
        <f t="shared" si="39"/>
        <v/>
      </c>
      <c r="S175" s="48"/>
      <c r="T175" s="49"/>
      <c r="U175" s="56"/>
      <c r="V175" s="58"/>
      <c r="W175" s="50" t="str">
        <f t="shared" si="40"/>
        <v/>
      </c>
      <c r="X175" s="51" t="str">
        <f t="shared" si="48"/>
        <v/>
      </c>
      <c r="Y175" s="57"/>
      <c r="Z175" s="50" t="str">
        <f t="shared" si="41"/>
        <v/>
      </c>
      <c r="AA175" s="52" t="str">
        <f t="shared" si="46"/>
        <v/>
      </c>
      <c r="AB175" s="53" t="str">
        <f t="shared" si="47"/>
        <v/>
      </c>
      <c r="AC175" s="41"/>
      <c r="AD175" s="58"/>
      <c r="AE175" s="54"/>
      <c r="AF175" s="54"/>
      <c r="AG175" s="54"/>
      <c r="AH175" s="115" t="str">
        <f t="shared" si="42"/>
        <v/>
      </c>
      <c r="AI175" s="114" t="str">
        <f t="shared" si="43"/>
        <v/>
      </c>
      <c r="AJ175" s="116" t="str">
        <f t="shared" si="44"/>
        <v/>
      </c>
      <c r="AK175" s="98" t="str">
        <f t="shared" si="45"/>
        <v/>
      </c>
      <c r="AL175" s="79"/>
      <c r="AM175" s="17"/>
      <c r="AN175" s="17"/>
      <c r="AO175" s="17"/>
      <c r="AP175" s="17"/>
      <c r="AQ175" s="17"/>
    </row>
    <row r="176" spans="1:43">
      <c r="A176" s="64"/>
      <c r="B176" s="122"/>
      <c r="C176" s="118"/>
      <c r="D176" s="39"/>
      <c r="E176" s="40"/>
      <c r="F176" s="41"/>
      <c r="G176" s="42"/>
      <c r="H176" s="42"/>
      <c r="I176" s="59"/>
      <c r="J176" s="43"/>
      <c r="K176" s="44"/>
      <c r="L176" s="45"/>
      <c r="M176" s="74"/>
      <c r="N176" s="55"/>
      <c r="O176" s="55"/>
      <c r="P176" s="55"/>
      <c r="Q176" s="46"/>
      <c r="R176" s="47" t="str">
        <f t="shared" si="39"/>
        <v/>
      </c>
      <c r="S176" s="48"/>
      <c r="T176" s="49"/>
      <c r="U176" s="56"/>
      <c r="V176" s="58"/>
      <c r="W176" s="50" t="str">
        <f t="shared" si="40"/>
        <v/>
      </c>
      <c r="X176" s="51" t="str">
        <f t="shared" si="48"/>
        <v/>
      </c>
      <c r="Y176" s="57"/>
      <c r="Z176" s="50" t="str">
        <f t="shared" si="41"/>
        <v/>
      </c>
      <c r="AA176" s="52" t="str">
        <f t="shared" si="46"/>
        <v/>
      </c>
      <c r="AB176" s="53" t="str">
        <f t="shared" si="47"/>
        <v/>
      </c>
      <c r="AC176" s="41"/>
      <c r="AD176" s="58"/>
      <c r="AE176" s="54"/>
      <c r="AF176" s="54"/>
      <c r="AG176" s="54"/>
      <c r="AH176" s="115" t="str">
        <f t="shared" si="42"/>
        <v/>
      </c>
      <c r="AI176" s="114" t="str">
        <f t="shared" si="43"/>
        <v/>
      </c>
      <c r="AJ176" s="116" t="str">
        <f t="shared" si="44"/>
        <v/>
      </c>
      <c r="AK176" s="98" t="str">
        <f t="shared" si="45"/>
        <v/>
      </c>
      <c r="AL176" s="79"/>
      <c r="AM176" s="17"/>
      <c r="AN176" s="17"/>
      <c r="AO176" s="17"/>
      <c r="AP176" s="17"/>
      <c r="AQ176" s="17"/>
    </row>
    <row r="177" spans="1:43">
      <c r="A177" s="64"/>
      <c r="B177" s="122"/>
      <c r="C177" s="118"/>
      <c r="D177" s="39"/>
      <c r="E177" s="40"/>
      <c r="F177" s="41"/>
      <c r="G177" s="42"/>
      <c r="H177" s="42"/>
      <c r="I177" s="59"/>
      <c r="J177" s="43"/>
      <c r="K177" s="44"/>
      <c r="L177" s="45"/>
      <c r="M177" s="74"/>
      <c r="N177" s="55"/>
      <c r="O177" s="55"/>
      <c r="P177" s="55"/>
      <c r="Q177" s="46"/>
      <c r="R177" s="47" t="str">
        <f t="shared" si="39"/>
        <v/>
      </c>
      <c r="S177" s="48"/>
      <c r="T177" s="49"/>
      <c r="U177" s="56"/>
      <c r="V177" s="58"/>
      <c r="W177" s="50" t="str">
        <f t="shared" si="40"/>
        <v/>
      </c>
      <c r="X177" s="51" t="str">
        <f t="shared" si="48"/>
        <v/>
      </c>
      <c r="Y177" s="57"/>
      <c r="Z177" s="50" t="str">
        <f t="shared" si="41"/>
        <v/>
      </c>
      <c r="AA177" s="52" t="str">
        <f t="shared" si="46"/>
        <v/>
      </c>
      <c r="AB177" s="53" t="str">
        <f t="shared" si="47"/>
        <v/>
      </c>
      <c r="AC177" s="41"/>
      <c r="AD177" s="58"/>
      <c r="AE177" s="54"/>
      <c r="AF177" s="54"/>
      <c r="AG177" s="54"/>
      <c r="AH177" s="115" t="str">
        <f t="shared" si="42"/>
        <v/>
      </c>
      <c r="AI177" s="114" t="str">
        <f t="shared" si="43"/>
        <v/>
      </c>
      <c r="AJ177" s="116" t="str">
        <f t="shared" si="44"/>
        <v/>
      </c>
      <c r="AK177" s="98" t="str">
        <f t="shared" si="45"/>
        <v/>
      </c>
      <c r="AL177" s="79"/>
      <c r="AM177" s="17"/>
      <c r="AN177" s="17"/>
      <c r="AO177" s="17"/>
      <c r="AP177" s="17"/>
      <c r="AQ177" s="17"/>
    </row>
    <row r="178" spans="1:43">
      <c r="A178" s="64"/>
      <c r="B178" s="122"/>
      <c r="C178" s="118"/>
      <c r="D178" s="39"/>
      <c r="E178" s="40"/>
      <c r="F178" s="41"/>
      <c r="G178" s="42"/>
      <c r="H178" s="42"/>
      <c r="I178" s="59"/>
      <c r="J178" s="43"/>
      <c r="K178" s="44"/>
      <c r="L178" s="45"/>
      <c r="M178" s="74"/>
      <c r="N178" s="55"/>
      <c r="O178" s="55"/>
      <c r="P178" s="55"/>
      <c r="Q178" s="46"/>
      <c r="R178" s="47" t="str">
        <f t="shared" si="39"/>
        <v/>
      </c>
      <c r="S178" s="48"/>
      <c r="T178" s="49"/>
      <c r="U178" s="56"/>
      <c r="V178" s="58"/>
      <c r="W178" s="50" t="str">
        <f t="shared" si="40"/>
        <v/>
      </c>
      <c r="X178" s="51" t="str">
        <f t="shared" si="48"/>
        <v/>
      </c>
      <c r="Y178" s="57"/>
      <c r="Z178" s="50" t="str">
        <f t="shared" si="41"/>
        <v/>
      </c>
      <c r="AA178" s="52" t="str">
        <f t="shared" si="46"/>
        <v/>
      </c>
      <c r="AB178" s="53" t="str">
        <f t="shared" si="47"/>
        <v/>
      </c>
      <c r="AC178" s="41"/>
      <c r="AD178" s="58"/>
      <c r="AE178" s="54"/>
      <c r="AF178" s="54"/>
      <c r="AG178" s="54"/>
      <c r="AH178" s="115" t="str">
        <f t="shared" si="42"/>
        <v/>
      </c>
      <c r="AI178" s="114" t="str">
        <f t="shared" si="43"/>
        <v/>
      </c>
      <c r="AJ178" s="116" t="str">
        <f t="shared" si="44"/>
        <v/>
      </c>
      <c r="AK178" s="98" t="str">
        <f t="shared" si="45"/>
        <v/>
      </c>
      <c r="AL178" s="79"/>
      <c r="AM178" s="17"/>
      <c r="AN178" s="17"/>
      <c r="AO178" s="17"/>
      <c r="AP178" s="17"/>
      <c r="AQ178" s="17"/>
    </row>
    <row r="179" spans="1:43">
      <c r="A179" s="64"/>
      <c r="B179" s="122"/>
      <c r="C179" s="118"/>
      <c r="D179" s="39"/>
      <c r="E179" s="40"/>
      <c r="F179" s="41"/>
      <c r="G179" s="42"/>
      <c r="H179" s="42"/>
      <c r="I179" s="59"/>
      <c r="J179" s="43"/>
      <c r="K179" s="44"/>
      <c r="L179" s="45"/>
      <c r="M179" s="74"/>
      <c r="N179" s="55"/>
      <c r="O179" s="55"/>
      <c r="P179" s="55"/>
      <c r="Q179" s="46"/>
      <c r="R179" s="47" t="str">
        <f t="shared" si="39"/>
        <v/>
      </c>
      <c r="S179" s="48"/>
      <c r="T179" s="49"/>
      <c r="U179" s="56"/>
      <c r="V179" s="58"/>
      <c r="W179" s="50" t="str">
        <f t="shared" si="40"/>
        <v/>
      </c>
      <c r="X179" s="51" t="str">
        <f t="shared" si="48"/>
        <v/>
      </c>
      <c r="Y179" s="57"/>
      <c r="Z179" s="50" t="str">
        <f t="shared" si="41"/>
        <v/>
      </c>
      <c r="AA179" s="52" t="str">
        <f t="shared" si="46"/>
        <v/>
      </c>
      <c r="AB179" s="53" t="str">
        <f t="shared" si="47"/>
        <v/>
      </c>
      <c r="AC179" s="41"/>
      <c r="AD179" s="58"/>
      <c r="AE179" s="54"/>
      <c r="AF179" s="54"/>
      <c r="AG179" s="54"/>
      <c r="AH179" s="115" t="str">
        <f t="shared" si="42"/>
        <v/>
      </c>
      <c r="AI179" s="114" t="str">
        <f t="shared" si="43"/>
        <v/>
      </c>
      <c r="AJ179" s="116" t="str">
        <f t="shared" si="44"/>
        <v/>
      </c>
      <c r="AK179" s="98" t="str">
        <f t="shared" si="45"/>
        <v/>
      </c>
      <c r="AL179" s="79"/>
      <c r="AM179" s="17"/>
      <c r="AN179" s="17"/>
      <c r="AO179" s="17"/>
      <c r="AP179" s="17"/>
      <c r="AQ179" s="17"/>
    </row>
    <row r="180" spans="1:43">
      <c r="A180" s="64"/>
      <c r="B180" s="122"/>
      <c r="C180" s="118"/>
      <c r="D180" s="39"/>
      <c r="E180" s="40"/>
      <c r="F180" s="41"/>
      <c r="G180" s="42"/>
      <c r="H180" s="42"/>
      <c r="I180" s="59"/>
      <c r="J180" s="43"/>
      <c r="K180" s="44"/>
      <c r="L180" s="45"/>
      <c r="M180" s="74"/>
      <c r="N180" s="55"/>
      <c r="O180" s="55"/>
      <c r="P180" s="55"/>
      <c r="Q180" s="46"/>
      <c r="R180" s="47" t="str">
        <f t="shared" si="39"/>
        <v/>
      </c>
      <c r="S180" s="48"/>
      <c r="T180" s="49"/>
      <c r="U180" s="56"/>
      <c r="V180" s="58"/>
      <c r="W180" s="50" t="str">
        <f t="shared" si="40"/>
        <v/>
      </c>
      <c r="X180" s="51" t="str">
        <f t="shared" si="48"/>
        <v/>
      </c>
      <c r="Y180" s="57"/>
      <c r="Z180" s="50" t="str">
        <f t="shared" si="41"/>
        <v/>
      </c>
      <c r="AA180" s="52" t="str">
        <f t="shared" si="46"/>
        <v/>
      </c>
      <c r="AB180" s="53" t="str">
        <f t="shared" si="47"/>
        <v/>
      </c>
      <c r="AC180" s="41"/>
      <c r="AD180" s="58"/>
      <c r="AE180" s="54"/>
      <c r="AF180" s="54"/>
      <c r="AG180" s="54"/>
      <c r="AH180" s="115" t="str">
        <f t="shared" si="42"/>
        <v/>
      </c>
      <c r="AI180" s="114" t="str">
        <f t="shared" si="43"/>
        <v/>
      </c>
      <c r="AJ180" s="116" t="str">
        <f t="shared" si="44"/>
        <v/>
      </c>
      <c r="AK180" s="98" t="str">
        <f t="shared" si="45"/>
        <v/>
      </c>
      <c r="AL180" s="79"/>
      <c r="AM180" s="17"/>
      <c r="AN180" s="17"/>
      <c r="AO180" s="17"/>
      <c r="AP180" s="17"/>
      <c r="AQ180" s="17"/>
    </row>
    <row r="181" spans="1:43">
      <c r="A181" s="64"/>
      <c r="B181" s="122"/>
      <c r="C181" s="118"/>
      <c r="D181" s="39"/>
      <c r="E181" s="40"/>
      <c r="F181" s="41"/>
      <c r="G181" s="42"/>
      <c r="H181" s="42"/>
      <c r="I181" s="59"/>
      <c r="J181" s="43"/>
      <c r="K181" s="44"/>
      <c r="L181" s="45"/>
      <c r="M181" s="74"/>
      <c r="N181" s="55"/>
      <c r="O181" s="55"/>
      <c r="P181" s="55"/>
      <c r="Q181" s="46"/>
      <c r="R181" s="47" t="str">
        <f t="shared" si="39"/>
        <v/>
      </c>
      <c r="S181" s="48"/>
      <c r="T181" s="49"/>
      <c r="U181" s="56"/>
      <c r="V181" s="58"/>
      <c r="W181" s="50" t="str">
        <f t="shared" si="40"/>
        <v/>
      </c>
      <c r="X181" s="51" t="str">
        <f t="shared" si="48"/>
        <v/>
      </c>
      <c r="Y181" s="57"/>
      <c r="Z181" s="50" t="str">
        <f t="shared" si="41"/>
        <v/>
      </c>
      <c r="AA181" s="52" t="str">
        <f t="shared" si="46"/>
        <v/>
      </c>
      <c r="AB181" s="53" t="str">
        <f t="shared" si="47"/>
        <v/>
      </c>
      <c r="AC181" s="41"/>
      <c r="AD181" s="58"/>
      <c r="AE181" s="54"/>
      <c r="AF181" s="54"/>
      <c r="AG181" s="54"/>
      <c r="AH181" s="115" t="str">
        <f t="shared" si="42"/>
        <v/>
      </c>
      <c r="AI181" s="114" t="str">
        <f t="shared" si="43"/>
        <v/>
      </c>
      <c r="AJ181" s="116" t="str">
        <f t="shared" si="44"/>
        <v/>
      </c>
      <c r="AK181" s="98" t="str">
        <f t="shared" si="45"/>
        <v/>
      </c>
      <c r="AL181" s="79"/>
      <c r="AM181" s="17"/>
      <c r="AN181" s="17"/>
      <c r="AO181" s="17"/>
      <c r="AP181" s="17"/>
      <c r="AQ181" s="17"/>
    </row>
    <row r="182" spans="1:43">
      <c r="A182" s="64"/>
      <c r="B182" s="122"/>
      <c r="C182" s="118"/>
      <c r="D182" s="39"/>
      <c r="E182" s="40"/>
      <c r="F182" s="41"/>
      <c r="G182" s="42"/>
      <c r="H182" s="42"/>
      <c r="I182" s="59"/>
      <c r="J182" s="43"/>
      <c r="K182" s="44"/>
      <c r="L182" s="45"/>
      <c r="M182" s="74"/>
      <c r="N182" s="55"/>
      <c r="O182" s="55"/>
      <c r="P182" s="55"/>
      <c r="Q182" s="46"/>
      <c r="R182" s="47" t="str">
        <f t="shared" si="39"/>
        <v/>
      </c>
      <c r="S182" s="48"/>
      <c r="T182" s="49"/>
      <c r="U182" s="56"/>
      <c r="V182" s="58"/>
      <c r="W182" s="50" t="str">
        <f t="shared" si="40"/>
        <v/>
      </c>
      <c r="X182" s="51" t="str">
        <f t="shared" si="48"/>
        <v/>
      </c>
      <c r="Y182" s="57"/>
      <c r="Z182" s="50" t="str">
        <f t="shared" si="41"/>
        <v/>
      </c>
      <c r="AA182" s="52" t="str">
        <f t="shared" si="46"/>
        <v/>
      </c>
      <c r="AB182" s="53" t="str">
        <f t="shared" si="47"/>
        <v/>
      </c>
      <c r="AC182" s="41"/>
      <c r="AD182" s="58"/>
      <c r="AE182" s="54"/>
      <c r="AF182" s="54"/>
      <c r="AG182" s="54"/>
      <c r="AH182" s="115" t="str">
        <f t="shared" si="42"/>
        <v/>
      </c>
      <c r="AI182" s="114" t="str">
        <f t="shared" si="43"/>
        <v/>
      </c>
      <c r="AJ182" s="116" t="str">
        <f t="shared" si="44"/>
        <v/>
      </c>
      <c r="AK182" s="98" t="str">
        <f t="shared" si="45"/>
        <v/>
      </c>
      <c r="AL182" s="79"/>
      <c r="AM182" s="17"/>
      <c r="AN182" s="17"/>
      <c r="AO182" s="17"/>
      <c r="AP182" s="17"/>
      <c r="AQ182" s="17"/>
    </row>
    <row r="183" spans="1:43">
      <c r="A183" s="64"/>
      <c r="B183" s="122"/>
      <c r="C183" s="118"/>
      <c r="D183" s="39"/>
      <c r="E183" s="40"/>
      <c r="F183" s="41"/>
      <c r="G183" s="42"/>
      <c r="H183" s="42"/>
      <c r="I183" s="59"/>
      <c r="J183" s="43"/>
      <c r="K183" s="44"/>
      <c r="L183" s="45"/>
      <c r="M183" s="74"/>
      <c r="N183" s="55"/>
      <c r="O183" s="55"/>
      <c r="P183" s="55"/>
      <c r="Q183" s="46"/>
      <c r="R183" s="47" t="str">
        <f t="shared" si="39"/>
        <v/>
      </c>
      <c r="S183" s="48"/>
      <c r="T183" s="49"/>
      <c r="U183" s="56"/>
      <c r="V183" s="58"/>
      <c r="W183" s="50" t="str">
        <f t="shared" si="40"/>
        <v/>
      </c>
      <c r="X183" s="51" t="str">
        <f t="shared" si="48"/>
        <v/>
      </c>
      <c r="Y183" s="57"/>
      <c r="Z183" s="50" t="str">
        <f t="shared" si="41"/>
        <v/>
      </c>
      <c r="AA183" s="52" t="str">
        <f t="shared" si="46"/>
        <v/>
      </c>
      <c r="AB183" s="53" t="str">
        <f t="shared" si="47"/>
        <v/>
      </c>
      <c r="AC183" s="41"/>
      <c r="AD183" s="58"/>
      <c r="AE183" s="54"/>
      <c r="AF183" s="54"/>
      <c r="AG183" s="54"/>
      <c r="AH183" s="115" t="str">
        <f t="shared" si="42"/>
        <v/>
      </c>
      <c r="AI183" s="114" t="str">
        <f t="shared" si="43"/>
        <v/>
      </c>
      <c r="AJ183" s="116" t="str">
        <f t="shared" si="44"/>
        <v/>
      </c>
      <c r="AK183" s="98" t="str">
        <f t="shared" si="45"/>
        <v/>
      </c>
      <c r="AL183" s="79"/>
      <c r="AM183" s="17"/>
      <c r="AN183" s="17"/>
      <c r="AO183" s="17"/>
      <c r="AP183" s="17"/>
      <c r="AQ183" s="17"/>
    </row>
    <row r="184" spans="1:43">
      <c r="A184" s="64"/>
      <c r="B184" s="122"/>
      <c r="C184" s="118"/>
      <c r="D184" s="39"/>
      <c r="E184" s="40"/>
      <c r="F184" s="41"/>
      <c r="G184" s="42"/>
      <c r="H184" s="42"/>
      <c r="I184" s="59"/>
      <c r="J184" s="43"/>
      <c r="K184" s="44"/>
      <c r="L184" s="45"/>
      <c r="M184" s="74"/>
      <c r="N184" s="55"/>
      <c r="O184" s="55"/>
      <c r="P184" s="55"/>
      <c r="Q184" s="46"/>
      <c r="R184" s="47" t="str">
        <f t="shared" si="39"/>
        <v/>
      </c>
      <c r="S184" s="48"/>
      <c r="T184" s="49"/>
      <c r="U184" s="56"/>
      <c r="V184" s="58"/>
      <c r="W184" s="50" t="str">
        <f t="shared" si="40"/>
        <v/>
      </c>
      <c r="X184" s="51" t="str">
        <f t="shared" si="48"/>
        <v/>
      </c>
      <c r="Y184" s="57"/>
      <c r="Z184" s="50" t="str">
        <f t="shared" si="41"/>
        <v/>
      </c>
      <c r="AA184" s="52" t="str">
        <f t="shared" si="46"/>
        <v/>
      </c>
      <c r="AB184" s="53" t="str">
        <f t="shared" si="47"/>
        <v/>
      </c>
      <c r="AC184" s="41"/>
      <c r="AD184" s="58"/>
      <c r="AE184" s="54"/>
      <c r="AF184" s="54"/>
      <c r="AG184" s="54"/>
      <c r="AH184" s="115" t="str">
        <f t="shared" si="42"/>
        <v/>
      </c>
      <c r="AI184" s="114" t="str">
        <f t="shared" si="43"/>
        <v/>
      </c>
      <c r="AJ184" s="116" t="str">
        <f t="shared" si="44"/>
        <v/>
      </c>
      <c r="AK184" s="98" t="str">
        <f t="shared" si="45"/>
        <v/>
      </c>
      <c r="AL184" s="79"/>
      <c r="AM184" s="17"/>
      <c r="AN184" s="17"/>
      <c r="AO184" s="17"/>
      <c r="AP184" s="17"/>
      <c r="AQ184" s="17"/>
    </row>
    <row r="185" spans="1:43">
      <c r="A185" s="64"/>
      <c r="B185" s="122"/>
      <c r="C185" s="118"/>
      <c r="D185" s="39"/>
      <c r="E185" s="40"/>
      <c r="F185" s="41"/>
      <c r="G185" s="42"/>
      <c r="H185" s="42"/>
      <c r="I185" s="59"/>
      <c r="J185" s="43"/>
      <c r="K185" s="44"/>
      <c r="L185" s="45"/>
      <c r="M185" s="74"/>
      <c r="N185" s="55"/>
      <c r="O185" s="55"/>
      <c r="P185" s="55"/>
      <c r="Q185" s="46"/>
      <c r="R185" s="47" t="str">
        <f t="shared" si="39"/>
        <v/>
      </c>
      <c r="S185" s="48"/>
      <c r="T185" s="49"/>
      <c r="U185" s="56"/>
      <c r="V185" s="58"/>
      <c r="W185" s="50" t="str">
        <f t="shared" si="40"/>
        <v/>
      </c>
      <c r="X185" s="51" t="str">
        <f t="shared" si="48"/>
        <v/>
      </c>
      <c r="Y185" s="57"/>
      <c r="Z185" s="50" t="str">
        <f t="shared" si="41"/>
        <v/>
      </c>
      <c r="AA185" s="52" t="str">
        <f t="shared" si="46"/>
        <v/>
      </c>
      <c r="AB185" s="53" t="str">
        <f t="shared" si="47"/>
        <v/>
      </c>
      <c r="AC185" s="41"/>
      <c r="AD185" s="58"/>
      <c r="AE185" s="54"/>
      <c r="AF185" s="54"/>
      <c r="AG185" s="54"/>
      <c r="AH185" s="115" t="str">
        <f t="shared" si="42"/>
        <v/>
      </c>
      <c r="AI185" s="114" t="str">
        <f t="shared" si="43"/>
        <v/>
      </c>
      <c r="AJ185" s="116" t="str">
        <f t="shared" si="44"/>
        <v/>
      </c>
      <c r="AK185" s="98" t="str">
        <f t="shared" si="45"/>
        <v/>
      </c>
      <c r="AL185" s="79"/>
      <c r="AM185" s="17"/>
      <c r="AN185" s="17"/>
      <c r="AO185" s="17"/>
      <c r="AP185" s="17"/>
      <c r="AQ185" s="17"/>
    </row>
    <row r="186" spans="1:43">
      <c r="A186" s="64"/>
      <c r="B186" s="122"/>
      <c r="C186" s="118"/>
      <c r="D186" s="39"/>
      <c r="E186" s="40"/>
      <c r="F186" s="41"/>
      <c r="G186" s="42"/>
      <c r="H186" s="42"/>
      <c r="I186" s="59"/>
      <c r="J186" s="43"/>
      <c r="K186" s="44"/>
      <c r="L186" s="45"/>
      <c r="M186" s="74"/>
      <c r="N186" s="55"/>
      <c r="O186" s="55"/>
      <c r="P186" s="55"/>
      <c r="Q186" s="46"/>
      <c r="R186" s="47" t="str">
        <f t="shared" si="39"/>
        <v/>
      </c>
      <c r="S186" s="48"/>
      <c r="T186" s="49"/>
      <c r="U186" s="56"/>
      <c r="V186" s="58"/>
      <c r="W186" s="50" t="str">
        <f t="shared" si="40"/>
        <v/>
      </c>
      <c r="X186" s="51" t="str">
        <f t="shared" si="48"/>
        <v/>
      </c>
      <c r="Y186" s="57"/>
      <c r="Z186" s="50" t="str">
        <f t="shared" si="41"/>
        <v/>
      </c>
      <c r="AA186" s="52" t="str">
        <f t="shared" si="46"/>
        <v/>
      </c>
      <c r="AB186" s="53" t="str">
        <f t="shared" si="47"/>
        <v/>
      </c>
      <c r="AC186" s="41"/>
      <c r="AD186" s="58"/>
      <c r="AE186" s="54"/>
      <c r="AF186" s="54"/>
      <c r="AG186" s="54"/>
      <c r="AH186" s="115" t="str">
        <f t="shared" si="42"/>
        <v/>
      </c>
      <c r="AI186" s="114" t="str">
        <f t="shared" si="43"/>
        <v/>
      </c>
      <c r="AJ186" s="116" t="str">
        <f t="shared" si="44"/>
        <v/>
      </c>
      <c r="AK186" s="98" t="str">
        <f t="shared" si="45"/>
        <v/>
      </c>
      <c r="AL186" s="79"/>
      <c r="AM186" s="17"/>
      <c r="AN186" s="17"/>
      <c r="AO186" s="17"/>
      <c r="AP186" s="17"/>
      <c r="AQ186" s="17"/>
    </row>
    <row r="187" spans="1:43">
      <c r="A187" s="64"/>
      <c r="B187" s="122"/>
      <c r="C187" s="118"/>
      <c r="D187" s="39"/>
      <c r="E187" s="40"/>
      <c r="F187" s="41"/>
      <c r="G187" s="42"/>
      <c r="H187" s="42"/>
      <c r="I187" s="59"/>
      <c r="J187" s="43"/>
      <c r="K187" s="44"/>
      <c r="L187" s="45"/>
      <c r="M187" s="74"/>
      <c r="N187" s="55"/>
      <c r="O187" s="55"/>
      <c r="P187" s="55"/>
      <c r="Q187" s="46"/>
      <c r="R187" s="47" t="str">
        <f t="shared" si="39"/>
        <v/>
      </c>
      <c r="S187" s="48"/>
      <c r="T187" s="49"/>
      <c r="U187" s="56"/>
      <c r="V187" s="58"/>
      <c r="W187" s="50" t="str">
        <f t="shared" si="40"/>
        <v/>
      </c>
      <c r="X187" s="51" t="str">
        <f t="shared" si="48"/>
        <v/>
      </c>
      <c r="Y187" s="57"/>
      <c r="Z187" s="50" t="str">
        <f t="shared" si="41"/>
        <v/>
      </c>
      <c r="AA187" s="52" t="str">
        <f t="shared" si="46"/>
        <v/>
      </c>
      <c r="AB187" s="53" t="str">
        <f t="shared" si="47"/>
        <v/>
      </c>
      <c r="AC187" s="41"/>
      <c r="AD187" s="58"/>
      <c r="AE187" s="54"/>
      <c r="AF187" s="54"/>
      <c r="AG187" s="54"/>
      <c r="AH187" s="115" t="str">
        <f t="shared" si="42"/>
        <v/>
      </c>
      <c r="AI187" s="114" t="str">
        <f t="shared" si="43"/>
        <v/>
      </c>
      <c r="AJ187" s="116" t="str">
        <f t="shared" si="44"/>
        <v/>
      </c>
      <c r="AK187" s="98" t="str">
        <f t="shared" si="45"/>
        <v/>
      </c>
      <c r="AL187" s="79"/>
      <c r="AM187" s="17"/>
      <c r="AN187" s="17"/>
      <c r="AO187" s="17"/>
      <c r="AP187" s="17"/>
      <c r="AQ187" s="17"/>
    </row>
    <row r="188" spans="1:43">
      <c r="A188" s="64"/>
      <c r="B188" s="122"/>
      <c r="C188" s="118"/>
      <c r="D188" s="39"/>
      <c r="E188" s="40"/>
      <c r="F188" s="41"/>
      <c r="G188" s="42"/>
      <c r="H188" s="42"/>
      <c r="I188" s="59"/>
      <c r="J188" s="43"/>
      <c r="K188" s="44"/>
      <c r="L188" s="45"/>
      <c r="M188" s="74"/>
      <c r="N188" s="55"/>
      <c r="O188" s="55"/>
      <c r="P188" s="55"/>
      <c r="Q188" s="46"/>
      <c r="R188" s="47" t="str">
        <f t="shared" si="39"/>
        <v/>
      </c>
      <c r="S188" s="48"/>
      <c r="T188" s="49"/>
      <c r="U188" s="56"/>
      <c r="V188" s="58"/>
      <c r="W188" s="50" t="str">
        <f t="shared" si="40"/>
        <v/>
      </c>
      <c r="X188" s="51" t="str">
        <f t="shared" si="48"/>
        <v/>
      </c>
      <c r="Y188" s="57"/>
      <c r="Z188" s="50" t="str">
        <f t="shared" si="41"/>
        <v/>
      </c>
      <c r="AA188" s="52" t="str">
        <f t="shared" si="46"/>
        <v/>
      </c>
      <c r="AB188" s="53" t="str">
        <f t="shared" si="47"/>
        <v/>
      </c>
      <c r="AC188" s="41"/>
      <c r="AD188" s="58"/>
      <c r="AE188" s="54"/>
      <c r="AF188" s="54"/>
      <c r="AG188" s="54"/>
      <c r="AH188" s="115" t="str">
        <f t="shared" si="42"/>
        <v/>
      </c>
      <c r="AI188" s="114" t="str">
        <f t="shared" si="43"/>
        <v/>
      </c>
      <c r="AJ188" s="116" t="str">
        <f t="shared" si="44"/>
        <v/>
      </c>
      <c r="AK188" s="98" t="str">
        <f t="shared" si="45"/>
        <v/>
      </c>
      <c r="AL188" s="79"/>
      <c r="AM188" s="17"/>
      <c r="AN188" s="17"/>
      <c r="AO188" s="17"/>
      <c r="AP188" s="17"/>
      <c r="AQ188" s="17"/>
    </row>
    <row r="189" spans="1:43">
      <c r="A189" s="64"/>
      <c r="B189" s="122"/>
      <c r="C189" s="118"/>
      <c r="D189" s="39"/>
      <c r="E189" s="40"/>
      <c r="F189" s="41"/>
      <c r="G189" s="42"/>
      <c r="H189" s="42"/>
      <c r="I189" s="59"/>
      <c r="J189" s="43"/>
      <c r="K189" s="44"/>
      <c r="L189" s="45"/>
      <c r="M189" s="74"/>
      <c r="N189" s="55"/>
      <c r="O189" s="55"/>
      <c r="P189" s="55"/>
      <c r="Q189" s="46"/>
      <c r="R189" s="47" t="str">
        <f t="shared" si="39"/>
        <v/>
      </c>
      <c r="S189" s="48"/>
      <c r="T189" s="49"/>
      <c r="U189" s="56"/>
      <c r="V189" s="58"/>
      <c r="W189" s="50" t="str">
        <f t="shared" si="40"/>
        <v/>
      </c>
      <c r="X189" s="51" t="str">
        <f t="shared" si="48"/>
        <v/>
      </c>
      <c r="Y189" s="57"/>
      <c r="Z189" s="50" t="str">
        <f t="shared" si="41"/>
        <v/>
      </c>
      <c r="AA189" s="52" t="str">
        <f t="shared" si="46"/>
        <v/>
      </c>
      <c r="AB189" s="53" t="str">
        <f t="shared" si="47"/>
        <v/>
      </c>
      <c r="AC189" s="41"/>
      <c r="AD189" s="58"/>
      <c r="AE189" s="54"/>
      <c r="AF189" s="54"/>
      <c r="AG189" s="54"/>
      <c r="AH189" s="115" t="str">
        <f t="shared" si="42"/>
        <v/>
      </c>
      <c r="AI189" s="114" t="str">
        <f t="shared" si="43"/>
        <v/>
      </c>
      <c r="AJ189" s="116" t="str">
        <f t="shared" si="44"/>
        <v/>
      </c>
      <c r="AK189" s="98" t="str">
        <f t="shared" si="45"/>
        <v/>
      </c>
      <c r="AL189" s="79"/>
      <c r="AM189" s="17"/>
      <c r="AN189" s="17"/>
      <c r="AO189" s="17"/>
      <c r="AP189" s="17"/>
      <c r="AQ189" s="17"/>
    </row>
    <row r="190" spans="1:43">
      <c r="A190" s="64"/>
      <c r="B190" s="122"/>
      <c r="C190" s="118"/>
      <c r="D190" s="39"/>
      <c r="E190" s="40"/>
      <c r="F190" s="41"/>
      <c r="G190" s="42"/>
      <c r="H190" s="42"/>
      <c r="I190" s="59"/>
      <c r="J190" s="43"/>
      <c r="K190" s="44"/>
      <c r="L190" s="45"/>
      <c r="M190" s="74"/>
      <c r="N190" s="55"/>
      <c r="O190" s="55"/>
      <c r="P190" s="55"/>
      <c r="Q190" s="46"/>
      <c r="R190" s="47" t="str">
        <f t="shared" si="39"/>
        <v/>
      </c>
      <c r="S190" s="48"/>
      <c r="T190" s="49"/>
      <c r="U190" s="56"/>
      <c r="V190" s="58"/>
      <c r="W190" s="50" t="str">
        <f t="shared" si="40"/>
        <v/>
      </c>
      <c r="X190" s="51" t="str">
        <f t="shared" si="48"/>
        <v/>
      </c>
      <c r="Y190" s="57"/>
      <c r="Z190" s="50" t="str">
        <f t="shared" si="41"/>
        <v/>
      </c>
      <c r="AA190" s="52" t="str">
        <f t="shared" si="46"/>
        <v/>
      </c>
      <c r="AB190" s="53" t="str">
        <f t="shared" si="47"/>
        <v/>
      </c>
      <c r="AC190" s="41"/>
      <c r="AD190" s="58"/>
      <c r="AE190" s="54"/>
      <c r="AF190" s="54"/>
      <c r="AG190" s="54"/>
      <c r="AH190" s="115" t="str">
        <f t="shared" si="42"/>
        <v/>
      </c>
      <c r="AI190" s="114" t="str">
        <f t="shared" si="43"/>
        <v/>
      </c>
      <c r="AJ190" s="116" t="str">
        <f t="shared" si="44"/>
        <v/>
      </c>
      <c r="AK190" s="98" t="str">
        <f t="shared" si="45"/>
        <v/>
      </c>
      <c r="AL190" s="79"/>
      <c r="AM190" s="17"/>
      <c r="AN190" s="17"/>
      <c r="AO190" s="17"/>
      <c r="AP190" s="17"/>
      <c r="AQ190" s="17"/>
    </row>
    <row r="191" spans="1:43">
      <c r="A191" s="64"/>
      <c r="B191" s="122"/>
      <c r="C191" s="118"/>
      <c r="D191" s="39"/>
      <c r="E191" s="40"/>
      <c r="F191" s="41"/>
      <c r="G191" s="42"/>
      <c r="H191" s="42"/>
      <c r="I191" s="59"/>
      <c r="J191" s="43"/>
      <c r="K191" s="44"/>
      <c r="L191" s="45"/>
      <c r="M191" s="74"/>
      <c r="N191" s="55"/>
      <c r="O191" s="55"/>
      <c r="P191" s="55"/>
      <c r="Q191" s="46"/>
      <c r="R191" s="47" t="str">
        <f t="shared" si="39"/>
        <v/>
      </c>
      <c r="S191" s="48"/>
      <c r="T191" s="49"/>
      <c r="U191" s="56"/>
      <c r="V191" s="58"/>
      <c r="W191" s="50" t="str">
        <f t="shared" si="40"/>
        <v/>
      </c>
      <c r="X191" s="51" t="str">
        <f t="shared" si="48"/>
        <v/>
      </c>
      <c r="Y191" s="57"/>
      <c r="Z191" s="50" t="str">
        <f t="shared" si="41"/>
        <v/>
      </c>
      <c r="AA191" s="52" t="str">
        <f t="shared" si="46"/>
        <v/>
      </c>
      <c r="AB191" s="53" t="str">
        <f t="shared" si="47"/>
        <v/>
      </c>
      <c r="AC191" s="41"/>
      <c r="AD191" s="58"/>
      <c r="AE191" s="54"/>
      <c r="AF191" s="54"/>
      <c r="AG191" s="54"/>
      <c r="AH191" s="115" t="str">
        <f t="shared" si="42"/>
        <v/>
      </c>
      <c r="AI191" s="114" t="str">
        <f t="shared" si="43"/>
        <v/>
      </c>
      <c r="AJ191" s="116" t="str">
        <f t="shared" si="44"/>
        <v/>
      </c>
      <c r="AK191" s="98" t="str">
        <f t="shared" si="45"/>
        <v/>
      </c>
      <c r="AL191" s="79"/>
      <c r="AM191" s="17"/>
      <c r="AN191" s="17"/>
      <c r="AO191" s="17"/>
      <c r="AP191" s="17"/>
      <c r="AQ191" s="17"/>
    </row>
    <row r="192" spans="1:43">
      <c r="A192" s="64"/>
      <c r="B192" s="122"/>
      <c r="C192" s="118"/>
      <c r="D192" s="39"/>
      <c r="E192" s="40"/>
      <c r="F192" s="41"/>
      <c r="G192" s="42"/>
      <c r="H192" s="42"/>
      <c r="I192" s="59"/>
      <c r="J192" s="43"/>
      <c r="K192" s="44"/>
      <c r="L192" s="45"/>
      <c r="M192" s="74"/>
      <c r="N192" s="55"/>
      <c r="O192" s="55"/>
      <c r="P192" s="55"/>
      <c r="Q192" s="46"/>
      <c r="R192" s="47" t="str">
        <f t="shared" si="39"/>
        <v/>
      </c>
      <c r="S192" s="48"/>
      <c r="T192" s="49"/>
      <c r="U192" s="56"/>
      <c r="V192" s="58"/>
      <c r="W192" s="50" t="str">
        <f t="shared" si="40"/>
        <v/>
      </c>
      <c r="X192" s="51" t="str">
        <f t="shared" si="48"/>
        <v/>
      </c>
      <c r="Y192" s="57"/>
      <c r="Z192" s="50" t="str">
        <f t="shared" si="41"/>
        <v/>
      </c>
      <c r="AA192" s="52" t="str">
        <f t="shared" si="46"/>
        <v/>
      </c>
      <c r="AB192" s="53" t="str">
        <f t="shared" si="47"/>
        <v/>
      </c>
      <c r="AC192" s="41"/>
      <c r="AD192" s="58"/>
      <c r="AE192" s="54"/>
      <c r="AF192" s="54"/>
      <c r="AG192" s="54"/>
      <c r="AH192" s="115" t="str">
        <f t="shared" si="42"/>
        <v/>
      </c>
      <c r="AI192" s="114" t="str">
        <f t="shared" si="43"/>
        <v/>
      </c>
      <c r="AJ192" s="116" t="str">
        <f t="shared" si="44"/>
        <v/>
      </c>
      <c r="AK192" s="98" t="str">
        <f t="shared" si="45"/>
        <v/>
      </c>
      <c r="AL192" s="79"/>
      <c r="AM192" s="17"/>
      <c r="AN192" s="17"/>
      <c r="AO192" s="17"/>
      <c r="AP192" s="17"/>
      <c r="AQ192" s="17"/>
    </row>
    <row r="193" spans="1:43">
      <c r="A193" s="64"/>
      <c r="B193" s="122"/>
      <c r="C193" s="118"/>
      <c r="D193" s="39"/>
      <c r="E193" s="40"/>
      <c r="F193" s="41"/>
      <c r="G193" s="42"/>
      <c r="H193" s="42"/>
      <c r="I193" s="59"/>
      <c r="J193" s="43"/>
      <c r="K193" s="44"/>
      <c r="L193" s="45"/>
      <c r="M193" s="74"/>
      <c r="N193" s="55"/>
      <c r="O193" s="55"/>
      <c r="P193" s="55"/>
      <c r="Q193" s="46"/>
      <c r="R193" s="47" t="str">
        <f t="shared" si="39"/>
        <v/>
      </c>
      <c r="S193" s="48"/>
      <c r="T193" s="49"/>
      <c r="U193" s="56"/>
      <c r="V193" s="58"/>
      <c r="W193" s="50" t="str">
        <f t="shared" si="40"/>
        <v/>
      </c>
      <c r="X193" s="51" t="str">
        <f t="shared" si="48"/>
        <v/>
      </c>
      <c r="Y193" s="57"/>
      <c r="Z193" s="50" t="str">
        <f t="shared" si="41"/>
        <v/>
      </c>
      <c r="AA193" s="52" t="str">
        <f t="shared" si="46"/>
        <v/>
      </c>
      <c r="AB193" s="53" t="str">
        <f t="shared" si="47"/>
        <v/>
      </c>
      <c r="AC193" s="41"/>
      <c r="AD193" s="58"/>
      <c r="AE193" s="54"/>
      <c r="AF193" s="54"/>
      <c r="AG193" s="54"/>
      <c r="AH193" s="115" t="str">
        <f t="shared" si="42"/>
        <v/>
      </c>
      <c r="AI193" s="114" t="str">
        <f t="shared" si="43"/>
        <v/>
      </c>
      <c r="AJ193" s="116" t="str">
        <f t="shared" si="44"/>
        <v/>
      </c>
      <c r="AK193" s="98" t="str">
        <f t="shared" si="45"/>
        <v/>
      </c>
      <c r="AL193" s="79"/>
      <c r="AM193" s="17"/>
      <c r="AN193" s="17"/>
      <c r="AO193" s="17"/>
      <c r="AP193" s="17"/>
      <c r="AQ193" s="17"/>
    </row>
    <row r="194" spans="1:43">
      <c r="A194" s="64"/>
      <c r="B194" s="122"/>
      <c r="C194" s="118"/>
      <c r="D194" s="39"/>
      <c r="E194" s="40"/>
      <c r="F194" s="41"/>
      <c r="G194" s="42"/>
      <c r="H194" s="42"/>
      <c r="I194" s="59"/>
      <c r="J194" s="43"/>
      <c r="K194" s="44"/>
      <c r="L194" s="45"/>
      <c r="M194" s="74"/>
      <c r="N194" s="55"/>
      <c r="O194" s="55"/>
      <c r="P194" s="55"/>
      <c r="Q194" s="46"/>
      <c r="R194" s="47" t="str">
        <f t="shared" si="39"/>
        <v/>
      </c>
      <c r="S194" s="48"/>
      <c r="T194" s="49"/>
      <c r="U194" s="56"/>
      <c r="V194" s="58"/>
      <c r="W194" s="50" t="str">
        <f t="shared" si="40"/>
        <v/>
      </c>
      <c r="X194" s="51" t="str">
        <f t="shared" si="48"/>
        <v/>
      </c>
      <c r="Y194" s="57"/>
      <c r="Z194" s="50" t="str">
        <f t="shared" si="41"/>
        <v/>
      </c>
      <c r="AA194" s="52" t="str">
        <f t="shared" si="46"/>
        <v/>
      </c>
      <c r="AB194" s="53" t="str">
        <f t="shared" si="47"/>
        <v/>
      </c>
      <c r="AC194" s="41"/>
      <c r="AD194" s="58"/>
      <c r="AE194" s="54"/>
      <c r="AF194" s="54"/>
      <c r="AG194" s="54"/>
      <c r="AH194" s="115" t="str">
        <f t="shared" si="42"/>
        <v/>
      </c>
      <c r="AI194" s="114" t="str">
        <f t="shared" si="43"/>
        <v/>
      </c>
      <c r="AJ194" s="116" t="str">
        <f t="shared" si="44"/>
        <v/>
      </c>
      <c r="AK194" s="98" t="str">
        <f t="shared" si="45"/>
        <v/>
      </c>
      <c r="AL194" s="79"/>
      <c r="AM194" s="17"/>
      <c r="AN194" s="17"/>
      <c r="AO194" s="17"/>
      <c r="AP194" s="17"/>
      <c r="AQ194" s="17"/>
    </row>
    <row r="195" spans="1:43">
      <c r="A195" s="64"/>
      <c r="B195" s="122"/>
      <c r="C195" s="118"/>
      <c r="D195" s="39"/>
      <c r="E195" s="40"/>
      <c r="F195" s="41"/>
      <c r="G195" s="42"/>
      <c r="H195" s="42"/>
      <c r="I195" s="59"/>
      <c r="J195" s="43"/>
      <c r="K195" s="44"/>
      <c r="L195" s="45"/>
      <c r="M195" s="74"/>
      <c r="N195" s="55"/>
      <c r="O195" s="55"/>
      <c r="P195" s="55"/>
      <c r="Q195" s="46"/>
      <c r="R195" s="47" t="str">
        <f t="shared" si="39"/>
        <v/>
      </c>
      <c r="S195" s="48"/>
      <c r="T195" s="49"/>
      <c r="U195" s="56"/>
      <c r="V195" s="58"/>
      <c r="W195" s="50" t="str">
        <f t="shared" si="40"/>
        <v/>
      </c>
      <c r="X195" s="51" t="str">
        <f t="shared" si="48"/>
        <v/>
      </c>
      <c r="Y195" s="57"/>
      <c r="Z195" s="50" t="str">
        <f t="shared" si="41"/>
        <v/>
      </c>
      <c r="AA195" s="52" t="str">
        <f t="shared" si="46"/>
        <v/>
      </c>
      <c r="AB195" s="53" t="str">
        <f t="shared" si="47"/>
        <v/>
      </c>
      <c r="AC195" s="41"/>
      <c r="AD195" s="58"/>
      <c r="AE195" s="54"/>
      <c r="AF195" s="54"/>
      <c r="AG195" s="54"/>
      <c r="AH195" s="115" t="str">
        <f t="shared" si="42"/>
        <v/>
      </c>
      <c r="AI195" s="114" t="str">
        <f t="shared" si="43"/>
        <v/>
      </c>
      <c r="AJ195" s="116" t="str">
        <f t="shared" si="44"/>
        <v/>
      </c>
      <c r="AK195" s="98" t="str">
        <f t="shared" si="45"/>
        <v/>
      </c>
      <c r="AL195" s="79"/>
      <c r="AM195" s="17"/>
      <c r="AN195" s="17"/>
      <c r="AO195" s="17"/>
      <c r="AP195" s="17"/>
      <c r="AQ195" s="17"/>
    </row>
    <row r="196" spans="1:43">
      <c r="A196" s="64"/>
      <c r="B196" s="122"/>
      <c r="C196" s="118"/>
      <c r="D196" s="39"/>
      <c r="E196" s="40"/>
      <c r="F196" s="41"/>
      <c r="G196" s="42"/>
      <c r="H196" s="42"/>
      <c r="I196" s="59"/>
      <c r="J196" s="43"/>
      <c r="K196" s="44"/>
      <c r="L196" s="45"/>
      <c r="M196" s="74"/>
      <c r="N196" s="55"/>
      <c r="O196" s="55"/>
      <c r="P196" s="55"/>
      <c r="Q196" s="46"/>
      <c r="R196" s="47" t="str">
        <f t="shared" si="39"/>
        <v/>
      </c>
      <c r="S196" s="48"/>
      <c r="T196" s="49"/>
      <c r="U196" s="56"/>
      <c r="V196" s="58"/>
      <c r="W196" s="50" t="str">
        <f t="shared" si="40"/>
        <v/>
      </c>
      <c r="X196" s="51" t="str">
        <f t="shared" si="48"/>
        <v/>
      </c>
      <c r="Y196" s="57"/>
      <c r="Z196" s="50" t="str">
        <f t="shared" si="41"/>
        <v/>
      </c>
      <c r="AA196" s="52" t="str">
        <f t="shared" si="46"/>
        <v/>
      </c>
      <c r="AB196" s="53" t="str">
        <f t="shared" si="47"/>
        <v/>
      </c>
      <c r="AC196" s="41"/>
      <c r="AD196" s="58"/>
      <c r="AE196" s="54"/>
      <c r="AF196" s="54"/>
      <c r="AG196" s="54"/>
      <c r="AH196" s="115" t="str">
        <f t="shared" si="42"/>
        <v/>
      </c>
      <c r="AI196" s="114" t="str">
        <f t="shared" si="43"/>
        <v/>
      </c>
      <c r="AJ196" s="116" t="str">
        <f t="shared" si="44"/>
        <v/>
      </c>
      <c r="AK196" s="98" t="str">
        <f t="shared" si="45"/>
        <v/>
      </c>
      <c r="AL196" s="79"/>
      <c r="AM196" s="17"/>
      <c r="AN196" s="17"/>
      <c r="AO196" s="17"/>
      <c r="AP196" s="17"/>
      <c r="AQ196" s="17"/>
    </row>
    <row r="197" spans="1:43">
      <c r="A197" s="64"/>
      <c r="B197" s="122"/>
      <c r="C197" s="118"/>
      <c r="D197" s="39"/>
      <c r="E197" s="40"/>
      <c r="F197" s="41"/>
      <c r="G197" s="42"/>
      <c r="H197" s="42"/>
      <c r="I197" s="59"/>
      <c r="J197" s="43"/>
      <c r="K197" s="44"/>
      <c r="L197" s="45"/>
      <c r="M197" s="74"/>
      <c r="N197" s="55"/>
      <c r="O197" s="55"/>
      <c r="P197" s="55"/>
      <c r="Q197" s="46"/>
      <c r="R197" s="47" t="str">
        <f t="shared" si="39"/>
        <v/>
      </c>
      <c r="S197" s="48"/>
      <c r="T197" s="49"/>
      <c r="U197" s="56"/>
      <c r="V197" s="58"/>
      <c r="W197" s="50" t="str">
        <f t="shared" si="40"/>
        <v/>
      </c>
      <c r="X197" s="51" t="str">
        <f t="shared" si="48"/>
        <v/>
      </c>
      <c r="Y197" s="57"/>
      <c r="Z197" s="50" t="str">
        <f t="shared" si="41"/>
        <v/>
      </c>
      <c r="AA197" s="52" t="str">
        <f t="shared" si="46"/>
        <v/>
      </c>
      <c r="AB197" s="53" t="str">
        <f t="shared" si="47"/>
        <v/>
      </c>
      <c r="AC197" s="41"/>
      <c r="AD197" s="58"/>
      <c r="AE197" s="54"/>
      <c r="AF197" s="54"/>
      <c r="AG197" s="54"/>
      <c r="AH197" s="115" t="str">
        <f t="shared" si="42"/>
        <v/>
      </c>
      <c r="AI197" s="114" t="str">
        <f t="shared" si="43"/>
        <v/>
      </c>
      <c r="AJ197" s="116" t="str">
        <f t="shared" si="44"/>
        <v/>
      </c>
      <c r="AK197" s="98" t="str">
        <f t="shared" si="45"/>
        <v/>
      </c>
      <c r="AL197" s="79"/>
      <c r="AM197" s="17"/>
      <c r="AN197" s="17"/>
      <c r="AO197" s="17"/>
      <c r="AP197" s="17"/>
      <c r="AQ197" s="17"/>
    </row>
    <row r="198" spans="1:43">
      <c r="A198" s="64"/>
      <c r="B198" s="122"/>
      <c r="C198" s="118"/>
      <c r="D198" s="39"/>
      <c r="E198" s="40"/>
      <c r="F198" s="41"/>
      <c r="G198" s="42"/>
      <c r="H198" s="42"/>
      <c r="I198" s="59"/>
      <c r="J198" s="43"/>
      <c r="K198" s="44"/>
      <c r="L198" s="45"/>
      <c r="M198" s="74"/>
      <c r="N198" s="55"/>
      <c r="O198" s="55"/>
      <c r="P198" s="55"/>
      <c r="Q198" s="46"/>
      <c r="R198" s="47" t="str">
        <f t="shared" si="39"/>
        <v/>
      </c>
      <c r="S198" s="48"/>
      <c r="T198" s="49"/>
      <c r="U198" s="56"/>
      <c r="V198" s="58"/>
      <c r="W198" s="50" t="str">
        <f t="shared" si="40"/>
        <v/>
      </c>
      <c r="X198" s="51" t="str">
        <f t="shared" si="48"/>
        <v/>
      </c>
      <c r="Y198" s="57"/>
      <c r="Z198" s="50" t="str">
        <f t="shared" si="41"/>
        <v/>
      </c>
      <c r="AA198" s="52" t="str">
        <f t="shared" si="46"/>
        <v/>
      </c>
      <c r="AB198" s="53" t="str">
        <f t="shared" si="47"/>
        <v/>
      </c>
      <c r="AC198" s="41"/>
      <c r="AD198" s="58"/>
      <c r="AE198" s="54"/>
      <c r="AF198" s="54"/>
      <c r="AG198" s="54"/>
      <c r="AH198" s="115" t="str">
        <f t="shared" si="42"/>
        <v/>
      </c>
      <c r="AI198" s="114" t="str">
        <f t="shared" si="43"/>
        <v/>
      </c>
      <c r="AJ198" s="116" t="str">
        <f t="shared" si="44"/>
        <v/>
      </c>
      <c r="AK198" s="98" t="str">
        <f t="shared" si="45"/>
        <v/>
      </c>
      <c r="AL198" s="79"/>
      <c r="AM198" s="62"/>
      <c r="AN198" s="62"/>
      <c r="AO198" s="62"/>
      <c r="AP198" s="62"/>
      <c r="AQ198" s="62"/>
    </row>
    <row r="199" spans="1:43">
      <c r="A199" s="64"/>
      <c r="B199" s="122"/>
      <c r="C199" s="118"/>
      <c r="D199" s="39"/>
      <c r="E199" s="40"/>
      <c r="F199" s="41"/>
      <c r="G199" s="42"/>
      <c r="H199" s="42"/>
      <c r="I199" s="59"/>
      <c r="J199" s="43"/>
      <c r="K199" s="44"/>
      <c r="L199" s="45"/>
      <c r="M199" s="74"/>
      <c r="N199" s="55"/>
      <c r="O199" s="55"/>
      <c r="P199" s="55"/>
      <c r="Q199" s="46"/>
      <c r="R199" s="47" t="str">
        <f t="shared" si="39"/>
        <v/>
      </c>
      <c r="S199" s="48"/>
      <c r="T199" s="49"/>
      <c r="U199" s="56"/>
      <c r="V199" s="58"/>
      <c r="W199" s="50" t="str">
        <f t="shared" si="40"/>
        <v/>
      </c>
      <c r="X199" s="51" t="str">
        <f t="shared" si="48"/>
        <v/>
      </c>
      <c r="Y199" s="57"/>
      <c r="Z199" s="50" t="str">
        <f t="shared" si="41"/>
        <v/>
      </c>
      <c r="AA199" s="52" t="str">
        <f t="shared" si="46"/>
        <v/>
      </c>
      <c r="AB199" s="53" t="str">
        <f t="shared" si="47"/>
        <v/>
      </c>
      <c r="AC199" s="41"/>
      <c r="AD199" s="58"/>
      <c r="AE199" s="54"/>
      <c r="AF199" s="54"/>
      <c r="AG199" s="54"/>
      <c r="AH199" s="115" t="str">
        <f t="shared" si="42"/>
        <v/>
      </c>
      <c r="AI199" s="114" t="str">
        <f t="shared" si="43"/>
        <v/>
      </c>
      <c r="AJ199" s="116" t="str">
        <f t="shared" si="44"/>
        <v/>
      </c>
      <c r="AK199" s="98" t="str">
        <f t="shared" si="45"/>
        <v/>
      </c>
      <c r="AL199" s="79"/>
      <c r="AM199" s="62"/>
      <c r="AN199" s="62"/>
      <c r="AO199" s="62"/>
      <c r="AP199" s="62"/>
      <c r="AQ199" s="62"/>
    </row>
    <row r="200" spans="1:43">
      <c r="A200" s="64"/>
      <c r="B200" s="122"/>
      <c r="C200" s="118"/>
      <c r="D200" s="39"/>
      <c r="E200" s="40"/>
      <c r="F200" s="41"/>
      <c r="G200" s="42"/>
      <c r="H200" s="42"/>
      <c r="I200" s="59"/>
      <c r="J200" s="43"/>
      <c r="K200" s="44"/>
      <c r="L200" s="45"/>
      <c r="M200" s="74"/>
      <c r="N200" s="55"/>
      <c r="O200" s="55"/>
      <c r="P200" s="55"/>
      <c r="Q200" s="46"/>
      <c r="R200" s="47" t="str">
        <f t="shared" si="39"/>
        <v/>
      </c>
      <c r="S200" s="48"/>
      <c r="T200" s="49"/>
      <c r="U200" s="56"/>
      <c r="V200" s="58"/>
      <c r="W200" s="50" t="str">
        <f t="shared" si="40"/>
        <v/>
      </c>
      <c r="X200" s="51" t="str">
        <f t="shared" si="48"/>
        <v/>
      </c>
      <c r="Y200" s="57"/>
      <c r="Z200" s="50" t="str">
        <f t="shared" si="41"/>
        <v/>
      </c>
      <c r="AA200" s="52" t="str">
        <f t="shared" si="46"/>
        <v/>
      </c>
      <c r="AB200" s="53" t="str">
        <f t="shared" si="47"/>
        <v/>
      </c>
      <c r="AC200" s="41"/>
      <c r="AD200" s="58"/>
      <c r="AE200" s="54"/>
      <c r="AF200" s="54"/>
      <c r="AG200" s="54"/>
      <c r="AH200" s="115" t="str">
        <f t="shared" si="42"/>
        <v/>
      </c>
      <c r="AI200" s="114" t="str">
        <f t="shared" si="43"/>
        <v/>
      </c>
      <c r="AJ200" s="116" t="str">
        <f t="shared" si="44"/>
        <v/>
      </c>
      <c r="AK200" s="98" t="str">
        <f t="shared" si="45"/>
        <v/>
      </c>
      <c r="AL200" s="79"/>
      <c r="AM200" s="62"/>
      <c r="AN200" s="62"/>
      <c r="AO200" s="62"/>
      <c r="AP200" s="62"/>
      <c r="AQ200" s="62"/>
    </row>
    <row r="201" spans="1:43">
      <c r="A201" s="64"/>
      <c r="B201" s="122"/>
      <c r="C201" s="118"/>
      <c r="D201" s="39"/>
      <c r="E201" s="40"/>
      <c r="F201" s="41"/>
      <c r="G201" s="42"/>
      <c r="H201" s="42"/>
      <c r="I201" s="59"/>
      <c r="J201" s="43"/>
      <c r="K201" s="44"/>
      <c r="L201" s="45"/>
      <c r="M201" s="74"/>
      <c r="N201" s="55"/>
      <c r="O201" s="55"/>
      <c r="P201" s="55"/>
      <c r="Q201" s="46"/>
      <c r="R201" s="47" t="str">
        <f t="shared" si="39"/>
        <v/>
      </c>
      <c r="S201" s="48"/>
      <c r="T201" s="49"/>
      <c r="U201" s="56"/>
      <c r="V201" s="58"/>
      <c r="W201" s="50" t="str">
        <f t="shared" si="40"/>
        <v/>
      </c>
      <c r="X201" s="51" t="str">
        <f t="shared" si="48"/>
        <v/>
      </c>
      <c r="Y201" s="57"/>
      <c r="Z201" s="50" t="str">
        <f t="shared" si="41"/>
        <v/>
      </c>
      <c r="AA201" s="52" t="str">
        <f t="shared" si="46"/>
        <v/>
      </c>
      <c r="AB201" s="53" t="str">
        <f t="shared" si="47"/>
        <v/>
      </c>
      <c r="AC201" s="41"/>
      <c r="AD201" s="58"/>
      <c r="AE201" s="54"/>
      <c r="AF201" s="54"/>
      <c r="AG201" s="54"/>
      <c r="AH201" s="115" t="str">
        <f t="shared" si="42"/>
        <v/>
      </c>
      <c r="AI201" s="114" t="str">
        <f t="shared" si="43"/>
        <v/>
      </c>
      <c r="AJ201" s="116" t="str">
        <f t="shared" si="44"/>
        <v/>
      </c>
      <c r="AK201" s="98" t="str">
        <f t="shared" si="45"/>
        <v/>
      </c>
      <c r="AL201" s="79"/>
      <c r="AM201" s="62"/>
      <c r="AN201" s="62"/>
      <c r="AO201" s="62"/>
      <c r="AP201" s="62"/>
      <c r="AQ201" s="62"/>
    </row>
    <row r="202" spans="1:43">
      <c r="A202" s="64"/>
      <c r="B202" s="122"/>
      <c r="C202" s="118"/>
      <c r="D202" s="39"/>
      <c r="E202" s="40"/>
      <c r="F202" s="41"/>
      <c r="G202" s="42"/>
      <c r="H202" s="42"/>
      <c r="I202" s="59"/>
      <c r="J202" s="43"/>
      <c r="K202" s="44"/>
      <c r="L202" s="45"/>
      <c r="M202" s="74"/>
      <c r="N202" s="55"/>
      <c r="O202" s="55"/>
      <c r="P202" s="55"/>
      <c r="Q202" s="46"/>
      <c r="R202" s="47" t="str">
        <f t="shared" si="39"/>
        <v/>
      </c>
      <c r="S202" s="48"/>
      <c r="T202" s="49"/>
      <c r="U202" s="56"/>
      <c r="V202" s="58"/>
      <c r="W202" s="50" t="str">
        <f t="shared" si="40"/>
        <v/>
      </c>
      <c r="X202" s="51" t="str">
        <f t="shared" si="48"/>
        <v/>
      </c>
      <c r="Y202" s="57"/>
      <c r="Z202" s="50" t="str">
        <f t="shared" si="41"/>
        <v/>
      </c>
      <c r="AA202" s="52" t="str">
        <f t="shared" si="46"/>
        <v/>
      </c>
      <c r="AB202" s="53" t="str">
        <f t="shared" si="47"/>
        <v/>
      </c>
      <c r="AC202" s="41"/>
      <c r="AD202" s="58"/>
      <c r="AE202" s="54"/>
      <c r="AF202" s="54"/>
      <c r="AG202" s="54"/>
      <c r="AH202" s="115" t="str">
        <f t="shared" si="42"/>
        <v/>
      </c>
      <c r="AI202" s="114" t="str">
        <f t="shared" si="43"/>
        <v/>
      </c>
      <c r="AJ202" s="116" t="str">
        <f t="shared" si="44"/>
        <v/>
      </c>
      <c r="AK202" s="98" t="str">
        <f t="shared" si="45"/>
        <v/>
      </c>
      <c r="AL202" s="79"/>
      <c r="AM202" s="62"/>
      <c r="AN202" s="62"/>
      <c r="AO202" s="62"/>
      <c r="AP202" s="62"/>
      <c r="AQ202" s="62"/>
    </row>
    <row r="203" spans="1:43">
      <c r="A203" s="64"/>
      <c r="B203" s="122"/>
      <c r="C203" s="118"/>
      <c r="D203" s="39"/>
      <c r="E203" s="40"/>
      <c r="F203" s="41"/>
      <c r="G203" s="42"/>
      <c r="H203" s="42"/>
      <c r="I203" s="59"/>
      <c r="J203" s="43"/>
      <c r="K203" s="44"/>
      <c r="L203" s="45"/>
      <c r="M203" s="74"/>
      <c r="N203" s="55"/>
      <c r="O203" s="55"/>
      <c r="P203" s="55"/>
      <c r="Q203" s="46"/>
      <c r="R203" s="47" t="str">
        <f t="shared" ref="R203:R211" si="49">IF(Q203="","",S203*Q203/100%)</f>
        <v/>
      </c>
      <c r="S203" s="48"/>
      <c r="T203" s="49"/>
      <c r="U203" s="56"/>
      <c r="V203" s="58"/>
      <c r="W203" s="50" t="str">
        <f t="shared" ref="W203:W211" si="50">IF(V203="","",IF(L203="Long",U203-V203,V203-U203))</f>
        <v/>
      </c>
      <c r="X203" s="51" t="str">
        <f t="shared" si="48"/>
        <v/>
      </c>
      <c r="Y203" s="57"/>
      <c r="Z203" s="50" t="str">
        <f t="shared" ref="Z203:Z211" si="51">IF(Y203="","",IF(L203="Long",Y203-U203,U203-Y203))</f>
        <v/>
      </c>
      <c r="AA203" s="52" t="str">
        <f t="shared" si="46"/>
        <v/>
      </c>
      <c r="AB203" s="53" t="str">
        <f t="shared" si="47"/>
        <v/>
      </c>
      <c r="AC203" s="41"/>
      <c r="AD203" s="58"/>
      <c r="AE203" s="54"/>
      <c r="AF203" s="54"/>
      <c r="AG203" s="54"/>
      <c r="AH203" s="115" t="str">
        <f t="shared" si="42"/>
        <v/>
      </c>
      <c r="AI203" s="114" t="str">
        <f t="shared" si="43"/>
        <v/>
      </c>
      <c r="AJ203" s="116" t="str">
        <f t="shared" si="44"/>
        <v/>
      </c>
      <c r="AK203" s="98" t="str">
        <f t="shared" si="45"/>
        <v/>
      </c>
      <c r="AL203" s="79"/>
      <c r="AM203" s="62"/>
      <c r="AN203" s="62"/>
      <c r="AO203" s="62"/>
      <c r="AP203" s="62"/>
      <c r="AQ203" s="62"/>
    </row>
    <row r="204" spans="1:43">
      <c r="A204" s="64"/>
      <c r="B204" s="122"/>
      <c r="C204" s="118"/>
      <c r="D204" s="39"/>
      <c r="E204" s="40"/>
      <c r="F204" s="41"/>
      <c r="G204" s="42"/>
      <c r="H204" s="42"/>
      <c r="I204" s="59"/>
      <c r="J204" s="43"/>
      <c r="K204" s="44"/>
      <c r="L204" s="45"/>
      <c r="M204" s="74"/>
      <c r="N204" s="55"/>
      <c r="O204" s="55"/>
      <c r="P204" s="55"/>
      <c r="Q204" s="46"/>
      <c r="R204" s="47" t="str">
        <f t="shared" si="49"/>
        <v/>
      </c>
      <c r="S204" s="48"/>
      <c r="T204" s="49"/>
      <c r="U204" s="56"/>
      <c r="V204" s="58"/>
      <c r="W204" s="50" t="str">
        <f t="shared" si="50"/>
        <v/>
      </c>
      <c r="X204" s="51" t="str">
        <f t="shared" si="48"/>
        <v/>
      </c>
      <c r="Y204" s="57"/>
      <c r="Z204" s="50" t="str">
        <f t="shared" si="51"/>
        <v/>
      </c>
      <c r="AA204" s="52" t="str">
        <f t="shared" si="46"/>
        <v/>
      </c>
      <c r="AB204" s="53" t="str">
        <f t="shared" si="47"/>
        <v/>
      </c>
      <c r="AC204" s="41"/>
      <c r="AD204" s="58"/>
      <c r="AE204" s="54"/>
      <c r="AF204" s="54"/>
      <c r="AG204" s="54"/>
      <c r="AH204" s="115" t="str">
        <f t="shared" ref="AH204:AH211" si="52">IF(AG204="","",AG204+AF204+AE204)</f>
        <v/>
      </c>
      <c r="AI204" s="114" t="str">
        <f t="shared" si="43"/>
        <v/>
      </c>
      <c r="AJ204" s="116" t="str">
        <f t="shared" si="44"/>
        <v/>
      </c>
      <c r="AK204" s="98" t="str">
        <f t="shared" si="45"/>
        <v/>
      </c>
      <c r="AL204" s="79"/>
      <c r="AM204" s="62"/>
      <c r="AN204" s="62"/>
      <c r="AO204" s="62"/>
      <c r="AP204" s="62"/>
      <c r="AQ204" s="62"/>
    </row>
    <row r="205" spans="1:43">
      <c r="A205" s="64"/>
      <c r="B205" s="122"/>
      <c r="C205" s="118"/>
      <c r="D205" s="39"/>
      <c r="E205" s="40"/>
      <c r="F205" s="41"/>
      <c r="G205" s="42"/>
      <c r="H205" s="42"/>
      <c r="I205" s="59"/>
      <c r="J205" s="43"/>
      <c r="K205" s="44"/>
      <c r="L205" s="45"/>
      <c r="M205" s="74"/>
      <c r="N205" s="55"/>
      <c r="O205" s="55"/>
      <c r="P205" s="55"/>
      <c r="Q205" s="46"/>
      <c r="R205" s="47" t="str">
        <f t="shared" si="49"/>
        <v/>
      </c>
      <c r="S205" s="48"/>
      <c r="T205" s="49"/>
      <c r="U205" s="56"/>
      <c r="V205" s="58"/>
      <c r="W205" s="50" t="str">
        <f t="shared" si="50"/>
        <v/>
      </c>
      <c r="X205" s="51" t="str">
        <f t="shared" si="48"/>
        <v/>
      </c>
      <c r="Y205" s="57"/>
      <c r="Z205" s="50" t="str">
        <f t="shared" si="51"/>
        <v/>
      </c>
      <c r="AA205" s="52" t="str">
        <f t="shared" si="46"/>
        <v/>
      </c>
      <c r="AB205" s="53" t="str">
        <f t="shared" si="47"/>
        <v/>
      </c>
      <c r="AC205" s="41"/>
      <c r="AD205" s="58"/>
      <c r="AE205" s="54"/>
      <c r="AF205" s="54"/>
      <c r="AG205" s="54"/>
      <c r="AH205" s="115" t="str">
        <f t="shared" si="52"/>
        <v/>
      </c>
      <c r="AI205" s="114" t="str">
        <f t="shared" si="43"/>
        <v/>
      </c>
      <c r="AJ205" s="116" t="str">
        <f t="shared" si="44"/>
        <v/>
      </c>
      <c r="AK205" s="98" t="str">
        <f t="shared" si="45"/>
        <v/>
      </c>
      <c r="AL205" s="79"/>
      <c r="AM205" s="62"/>
      <c r="AN205" s="62"/>
      <c r="AO205" s="62"/>
      <c r="AP205" s="62"/>
      <c r="AQ205" s="62"/>
    </row>
    <row r="206" spans="1:43">
      <c r="A206" s="64"/>
      <c r="B206" s="122"/>
      <c r="C206" s="118"/>
      <c r="D206" s="39"/>
      <c r="E206" s="40"/>
      <c r="F206" s="41"/>
      <c r="G206" s="42"/>
      <c r="H206" s="42"/>
      <c r="I206" s="59"/>
      <c r="J206" s="43"/>
      <c r="K206" s="44"/>
      <c r="L206" s="45"/>
      <c r="M206" s="74"/>
      <c r="N206" s="55"/>
      <c r="O206" s="55"/>
      <c r="P206" s="55"/>
      <c r="Q206" s="46"/>
      <c r="R206" s="47" t="str">
        <f t="shared" si="49"/>
        <v/>
      </c>
      <c r="S206" s="48"/>
      <c r="T206" s="49"/>
      <c r="U206" s="56"/>
      <c r="V206" s="58"/>
      <c r="W206" s="50" t="str">
        <f t="shared" si="50"/>
        <v/>
      </c>
      <c r="X206" s="51" t="str">
        <f t="shared" si="48"/>
        <v/>
      </c>
      <c r="Y206" s="57"/>
      <c r="Z206" s="50" t="str">
        <f t="shared" si="51"/>
        <v/>
      </c>
      <c r="AA206" s="52" t="str">
        <f t="shared" si="46"/>
        <v/>
      </c>
      <c r="AB206" s="53" t="str">
        <f t="shared" si="47"/>
        <v/>
      </c>
      <c r="AC206" s="41"/>
      <c r="AD206" s="58"/>
      <c r="AE206" s="54"/>
      <c r="AF206" s="54"/>
      <c r="AG206" s="54"/>
      <c r="AH206" s="115" t="str">
        <f t="shared" si="52"/>
        <v/>
      </c>
      <c r="AI206" s="114" t="str">
        <f t="shared" si="43"/>
        <v/>
      </c>
      <c r="AJ206" s="116" t="str">
        <f t="shared" si="44"/>
        <v/>
      </c>
      <c r="AK206" s="98" t="str">
        <f t="shared" si="45"/>
        <v/>
      </c>
      <c r="AL206" s="79"/>
      <c r="AM206" s="62"/>
      <c r="AN206" s="62"/>
      <c r="AO206" s="62"/>
      <c r="AP206" s="62"/>
      <c r="AQ206" s="62"/>
    </row>
    <row r="207" spans="1:43">
      <c r="A207" s="64"/>
      <c r="B207" s="122"/>
      <c r="C207" s="118"/>
      <c r="D207" s="39"/>
      <c r="E207" s="40"/>
      <c r="F207" s="41"/>
      <c r="G207" s="42"/>
      <c r="H207" s="42"/>
      <c r="I207" s="59"/>
      <c r="J207" s="43"/>
      <c r="K207" s="44"/>
      <c r="L207" s="45"/>
      <c r="M207" s="74"/>
      <c r="N207" s="55"/>
      <c r="O207" s="55"/>
      <c r="P207" s="55"/>
      <c r="Q207" s="46"/>
      <c r="R207" s="47" t="str">
        <f t="shared" si="49"/>
        <v/>
      </c>
      <c r="S207" s="48"/>
      <c r="T207" s="49"/>
      <c r="U207" s="56"/>
      <c r="V207" s="58"/>
      <c r="W207" s="50" t="str">
        <f t="shared" si="50"/>
        <v/>
      </c>
      <c r="X207" s="51" t="str">
        <f t="shared" si="48"/>
        <v/>
      </c>
      <c r="Y207" s="57"/>
      <c r="Z207" s="50" t="str">
        <f t="shared" si="51"/>
        <v/>
      </c>
      <c r="AA207" s="52" t="str">
        <f t="shared" si="46"/>
        <v/>
      </c>
      <c r="AB207" s="53" t="str">
        <f t="shared" si="47"/>
        <v/>
      </c>
      <c r="AC207" s="41"/>
      <c r="AD207" s="58"/>
      <c r="AE207" s="54"/>
      <c r="AF207" s="54"/>
      <c r="AG207" s="54"/>
      <c r="AH207" s="115" t="str">
        <f t="shared" si="52"/>
        <v/>
      </c>
      <c r="AI207" s="114" t="str">
        <f t="shared" ref="AI207:AI211" si="53">IF(AD207="","",IF(L207="Long",AD207-U207,U207-AD207))</f>
        <v/>
      </c>
      <c r="AJ207" s="116" t="str">
        <f t="shared" ref="AJ207:AJ211" si="54">IF(AI207="","",AG207*S207/X207)</f>
        <v/>
      </c>
      <c r="AK207" s="98" t="str">
        <f t="shared" ref="AK207:AK211" si="55">IF(AI207="","",(AG207+AF207+AE207)*S207/X207)</f>
        <v/>
      </c>
      <c r="AL207" s="79"/>
      <c r="AM207" s="62"/>
      <c r="AN207" s="62"/>
      <c r="AO207" s="62"/>
      <c r="AP207" s="62"/>
      <c r="AQ207" s="62"/>
    </row>
    <row r="208" spans="1:43">
      <c r="A208" s="64"/>
      <c r="B208" s="122"/>
      <c r="C208" s="118"/>
      <c r="D208" s="39"/>
      <c r="E208" s="40"/>
      <c r="F208" s="41"/>
      <c r="G208" s="42"/>
      <c r="H208" s="42"/>
      <c r="I208" s="59"/>
      <c r="J208" s="43"/>
      <c r="K208" s="44"/>
      <c r="L208" s="45"/>
      <c r="M208" s="74"/>
      <c r="N208" s="55"/>
      <c r="O208" s="55"/>
      <c r="P208" s="55"/>
      <c r="Q208" s="46"/>
      <c r="R208" s="47" t="str">
        <f t="shared" si="49"/>
        <v/>
      </c>
      <c r="S208" s="48"/>
      <c r="T208" s="49"/>
      <c r="U208" s="56"/>
      <c r="V208" s="58"/>
      <c r="W208" s="50" t="str">
        <f t="shared" si="50"/>
        <v/>
      </c>
      <c r="X208" s="51" t="str">
        <f t="shared" si="48"/>
        <v/>
      </c>
      <c r="Y208" s="57"/>
      <c r="Z208" s="50" t="str">
        <f t="shared" si="51"/>
        <v/>
      </c>
      <c r="AA208" s="52" t="str">
        <f t="shared" si="46"/>
        <v/>
      </c>
      <c r="AB208" s="53" t="str">
        <f t="shared" si="47"/>
        <v/>
      </c>
      <c r="AC208" s="41"/>
      <c r="AD208" s="58"/>
      <c r="AE208" s="54"/>
      <c r="AF208" s="54"/>
      <c r="AG208" s="54"/>
      <c r="AH208" s="115" t="str">
        <f t="shared" si="52"/>
        <v/>
      </c>
      <c r="AI208" s="114" t="str">
        <f t="shared" si="53"/>
        <v/>
      </c>
      <c r="AJ208" s="116" t="str">
        <f t="shared" si="54"/>
        <v/>
      </c>
      <c r="AK208" s="98" t="str">
        <f t="shared" si="55"/>
        <v/>
      </c>
      <c r="AL208" s="79"/>
      <c r="AM208" s="62"/>
      <c r="AN208" s="62"/>
      <c r="AO208" s="62"/>
      <c r="AP208" s="62"/>
      <c r="AQ208" s="62"/>
    </row>
    <row r="209" spans="1:43">
      <c r="A209" s="64"/>
      <c r="B209" s="122"/>
      <c r="C209" s="118"/>
      <c r="D209" s="39"/>
      <c r="E209" s="40"/>
      <c r="F209" s="41"/>
      <c r="G209" s="42"/>
      <c r="H209" s="42"/>
      <c r="I209" s="59"/>
      <c r="J209" s="43"/>
      <c r="K209" s="44"/>
      <c r="L209" s="45"/>
      <c r="M209" s="74"/>
      <c r="N209" s="55"/>
      <c r="O209" s="55"/>
      <c r="P209" s="55"/>
      <c r="Q209" s="46"/>
      <c r="R209" s="47" t="str">
        <f t="shared" si="49"/>
        <v/>
      </c>
      <c r="S209" s="48"/>
      <c r="T209" s="49"/>
      <c r="U209" s="56"/>
      <c r="V209" s="58"/>
      <c r="W209" s="50" t="str">
        <f t="shared" si="50"/>
        <v/>
      </c>
      <c r="X209" s="51" t="str">
        <f t="shared" si="48"/>
        <v/>
      </c>
      <c r="Y209" s="57"/>
      <c r="Z209" s="50" t="str">
        <f t="shared" si="51"/>
        <v/>
      </c>
      <c r="AA209" s="52" t="str">
        <f t="shared" si="46"/>
        <v/>
      </c>
      <c r="AB209" s="53" t="str">
        <f t="shared" si="47"/>
        <v/>
      </c>
      <c r="AC209" s="41"/>
      <c r="AD209" s="58"/>
      <c r="AE209" s="54"/>
      <c r="AF209" s="54"/>
      <c r="AG209" s="54"/>
      <c r="AH209" s="115" t="str">
        <f t="shared" si="52"/>
        <v/>
      </c>
      <c r="AI209" s="114" t="str">
        <f t="shared" si="53"/>
        <v/>
      </c>
      <c r="AJ209" s="116" t="str">
        <f t="shared" si="54"/>
        <v/>
      </c>
      <c r="AK209" s="98" t="str">
        <f t="shared" si="55"/>
        <v/>
      </c>
      <c r="AL209" s="79"/>
      <c r="AM209" s="62"/>
      <c r="AN209" s="62"/>
      <c r="AO209" s="62"/>
      <c r="AP209" s="62"/>
      <c r="AQ209" s="62"/>
    </row>
    <row r="210" spans="1:43">
      <c r="A210" s="64"/>
      <c r="B210" s="122"/>
      <c r="C210" s="118"/>
      <c r="D210" s="39"/>
      <c r="E210" s="40"/>
      <c r="F210" s="41"/>
      <c r="G210" s="42"/>
      <c r="H210" s="42"/>
      <c r="I210" s="59"/>
      <c r="J210" s="43"/>
      <c r="K210" s="44"/>
      <c r="L210" s="45"/>
      <c r="M210" s="74"/>
      <c r="N210" s="55"/>
      <c r="O210" s="55"/>
      <c r="P210" s="55"/>
      <c r="Q210" s="46"/>
      <c r="R210" s="47" t="str">
        <f t="shared" si="49"/>
        <v/>
      </c>
      <c r="S210" s="48"/>
      <c r="T210" s="49"/>
      <c r="U210" s="56"/>
      <c r="V210" s="58"/>
      <c r="W210" s="50" t="str">
        <f t="shared" si="50"/>
        <v/>
      </c>
      <c r="X210" s="51" t="str">
        <f t="shared" si="48"/>
        <v/>
      </c>
      <c r="Y210" s="57"/>
      <c r="Z210" s="50" t="str">
        <f t="shared" si="51"/>
        <v/>
      </c>
      <c r="AA210" s="52" t="str">
        <f t="shared" ref="AA210:AA211" si="56">IF(AB210="","",AB210*X210/1)</f>
        <v/>
      </c>
      <c r="AB210" s="53" t="str">
        <f t="shared" ref="AB210:AB211" si="57">IF(Z210="","",Z210*1/W210)</f>
        <v/>
      </c>
      <c r="AC210" s="41"/>
      <c r="AD210" s="58"/>
      <c r="AE210" s="54"/>
      <c r="AF210" s="54"/>
      <c r="AG210" s="54"/>
      <c r="AH210" s="115" t="str">
        <f t="shared" si="52"/>
        <v/>
      </c>
      <c r="AI210" s="114" t="str">
        <f t="shared" si="53"/>
        <v/>
      </c>
      <c r="AJ210" s="116" t="str">
        <f t="shared" si="54"/>
        <v/>
      </c>
      <c r="AK210" s="98" t="str">
        <f t="shared" si="55"/>
        <v/>
      </c>
      <c r="AL210" s="79"/>
      <c r="AM210" s="62"/>
      <c r="AN210" s="62"/>
      <c r="AO210" s="62"/>
      <c r="AP210" s="62"/>
      <c r="AQ210" s="62"/>
    </row>
    <row r="211" spans="1:43">
      <c r="A211" s="64"/>
      <c r="B211" s="122"/>
      <c r="C211" s="118"/>
      <c r="D211" s="39"/>
      <c r="E211" s="40"/>
      <c r="F211" s="41"/>
      <c r="G211" s="42"/>
      <c r="H211" s="42"/>
      <c r="I211" s="59"/>
      <c r="J211" s="43"/>
      <c r="K211" s="44"/>
      <c r="L211" s="45"/>
      <c r="M211" s="74"/>
      <c r="N211" s="55"/>
      <c r="O211" s="55"/>
      <c r="P211" s="55"/>
      <c r="Q211" s="46"/>
      <c r="R211" s="47" t="str">
        <f t="shared" si="49"/>
        <v/>
      </c>
      <c r="S211" s="48"/>
      <c r="T211" s="49"/>
      <c r="U211" s="56"/>
      <c r="V211" s="58"/>
      <c r="W211" s="50" t="str">
        <f t="shared" si="50"/>
        <v/>
      </c>
      <c r="X211" s="51" t="str">
        <f t="shared" ref="X211" si="58">IF(W211="","",R211)</f>
        <v/>
      </c>
      <c r="Y211" s="57"/>
      <c r="Z211" s="50" t="str">
        <f t="shared" si="51"/>
        <v/>
      </c>
      <c r="AA211" s="52" t="str">
        <f t="shared" si="56"/>
        <v/>
      </c>
      <c r="AB211" s="53" t="str">
        <f t="shared" si="57"/>
        <v/>
      </c>
      <c r="AC211" s="41"/>
      <c r="AD211" s="58"/>
      <c r="AE211" s="54"/>
      <c r="AF211" s="54"/>
      <c r="AG211" s="54"/>
      <c r="AH211" s="115" t="str">
        <f t="shared" si="52"/>
        <v/>
      </c>
      <c r="AI211" s="114" t="str">
        <f t="shared" si="53"/>
        <v/>
      </c>
      <c r="AJ211" s="116" t="str">
        <f t="shared" si="54"/>
        <v/>
      </c>
      <c r="AK211" s="98" t="str">
        <f t="shared" si="55"/>
        <v/>
      </c>
      <c r="AL211" s="79"/>
      <c r="AM211" s="62"/>
      <c r="AN211" s="62"/>
      <c r="AO211" s="62"/>
      <c r="AP211" s="62"/>
      <c r="AQ211" s="62"/>
    </row>
    <row r="212" spans="1:43">
      <c r="A212" s="65"/>
      <c r="B212" s="62"/>
      <c r="C212" s="80"/>
      <c r="D212" s="62"/>
      <c r="E212" s="62"/>
      <c r="F212" s="62"/>
      <c r="G212" s="62"/>
      <c r="H212" s="62"/>
      <c r="I212" s="62"/>
      <c r="J212" s="62"/>
      <c r="K212" s="62"/>
      <c r="L212" s="62"/>
      <c r="M212" s="75"/>
      <c r="N212" s="62"/>
      <c r="O212" s="62"/>
      <c r="P212" s="62"/>
      <c r="Q212" s="62"/>
      <c r="R212" s="62"/>
      <c r="S212" s="62"/>
      <c r="T212" s="62"/>
      <c r="U212" s="82"/>
      <c r="V212" s="82"/>
      <c r="W212" s="62"/>
      <c r="X212" s="62"/>
      <c r="Y212" s="82"/>
      <c r="Z212" s="62"/>
      <c r="AA212" s="62"/>
      <c r="AB212" s="62"/>
      <c r="AC212" s="41"/>
      <c r="AD212" s="82"/>
      <c r="AE212" s="62"/>
      <c r="AF212" s="62"/>
      <c r="AG212" s="62"/>
      <c r="AH212" s="62"/>
      <c r="AI212" s="62"/>
      <c r="AJ212" s="62"/>
      <c r="AK212" s="62"/>
      <c r="AL212" s="80"/>
      <c r="AM212" s="62"/>
      <c r="AN212" s="62"/>
      <c r="AO212" s="62"/>
      <c r="AP212" s="62"/>
      <c r="AQ212" s="62"/>
    </row>
    <row r="213" spans="1:43">
      <c r="A213" s="65"/>
      <c r="B213" s="62"/>
      <c r="C213" s="80"/>
      <c r="D213" s="62"/>
      <c r="E213" s="62"/>
      <c r="F213" s="62"/>
      <c r="G213" s="62"/>
      <c r="H213" s="62"/>
      <c r="I213" s="62"/>
      <c r="J213" s="62"/>
      <c r="K213" s="62"/>
      <c r="L213" s="62"/>
      <c r="M213" s="75"/>
      <c r="N213" s="62"/>
      <c r="O213" s="62"/>
      <c r="P213" s="62"/>
      <c r="Q213" s="62"/>
      <c r="R213" s="62"/>
      <c r="S213" s="62"/>
      <c r="T213" s="62"/>
      <c r="U213" s="82"/>
      <c r="V213" s="82"/>
      <c r="W213" s="62"/>
      <c r="X213" s="62"/>
      <c r="Y213" s="82"/>
      <c r="Z213" s="62"/>
      <c r="AA213" s="62"/>
      <c r="AB213" s="62"/>
      <c r="AC213" s="41"/>
      <c r="AD213" s="82"/>
      <c r="AE213" s="62"/>
      <c r="AF213" s="62"/>
      <c r="AG213" s="62"/>
      <c r="AH213" s="62"/>
      <c r="AI213" s="62"/>
      <c r="AJ213" s="62"/>
      <c r="AK213" s="62"/>
      <c r="AL213" s="80"/>
      <c r="AM213" s="62"/>
      <c r="AN213" s="62"/>
      <c r="AO213" s="62"/>
      <c r="AP213" s="62"/>
      <c r="AQ213" s="62"/>
    </row>
    <row r="214" spans="1:43">
      <c r="A214" s="65"/>
      <c r="B214" s="62"/>
      <c r="C214" s="80"/>
      <c r="D214" s="62"/>
      <c r="E214" s="62"/>
      <c r="F214" s="62"/>
      <c r="G214" s="62"/>
      <c r="H214" s="62"/>
      <c r="I214" s="62"/>
      <c r="J214" s="62"/>
      <c r="K214" s="62"/>
      <c r="L214" s="62"/>
      <c r="M214" s="75"/>
      <c r="N214" s="62"/>
      <c r="O214" s="62"/>
      <c r="P214" s="62"/>
      <c r="Q214" s="62"/>
      <c r="R214" s="62"/>
      <c r="S214" s="62"/>
      <c r="T214" s="62"/>
      <c r="U214" s="82"/>
      <c r="V214" s="82"/>
      <c r="W214" s="62"/>
      <c r="X214" s="62"/>
      <c r="Y214" s="82"/>
      <c r="Z214" s="62"/>
      <c r="AA214" s="62"/>
      <c r="AB214" s="62"/>
      <c r="AC214" s="62"/>
      <c r="AD214" s="82"/>
      <c r="AE214" s="62"/>
      <c r="AF214" s="62"/>
      <c r="AG214" s="62"/>
      <c r="AH214" s="62"/>
      <c r="AI214" s="62"/>
      <c r="AJ214" s="62"/>
      <c r="AK214" s="62"/>
      <c r="AL214" s="80"/>
      <c r="AM214" s="62"/>
      <c r="AN214" s="62"/>
      <c r="AO214" s="62"/>
      <c r="AP214" s="62"/>
      <c r="AQ214" s="62"/>
    </row>
    <row r="215" spans="1:43">
      <c r="A215" s="65"/>
      <c r="B215" s="62"/>
      <c r="C215" s="80"/>
      <c r="D215" s="62"/>
      <c r="E215" s="62"/>
      <c r="F215" s="62"/>
      <c r="G215" s="62"/>
      <c r="H215" s="62"/>
      <c r="I215" s="62"/>
      <c r="J215" s="62"/>
      <c r="K215" s="62"/>
      <c r="L215" s="62"/>
      <c r="M215" s="75"/>
      <c r="N215" s="62"/>
      <c r="O215" s="62"/>
      <c r="P215" s="62"/>
      <c r="Q215" s="62"/>
      <c r="R215" s="62"/>
      <c r="S215" s="62"/>
      <c r="T215" s="62"/>
      <c r="U215" s="82"/>
      <c r="V215" s="82"/>
      <c r="W215" s="62"/>
      <c r="X215" s="62"/>
      <c r="Y215" s="82"/>
      <c r="Z215" s="62"/>
      <c r="AA215" s="62"/>
      <c r="AB215" s="62"/>
      <c r="AC215" s="62"/>
      <c r="AD215" s="82"/>
      <c r="AE215" s="62"/>
      <c r="AF215" s="62"/>
      <c r="AG215" s="62"/>
      <c r="AH215" s="62"/>
      <c r="AI215" s="62"/>
      <c r="AJ215" s="62"/>
      <c r="AK215" s="62"/>
      <c r="AL215" s="80"/>
      <c r="AM215" s="62"/>
      <c r="AN215" s="62"/>
      <c r="AO215" s="62"/>
      <c r="AP215" s="62"/>
      <c r="AQ215" s="62"/>
    </row>
    <row r="216" spans="1:43">
      <c r="A216" s="65"/>
      <c r="B216" s="62"/>
      <c r="C216" s="80"/>
      <c r="D216" s="62"/>
      <c r="E216" s="62"/>
      <c r="F216" s="62"/>
      <c r="G216" s="62"/>
      <c r="H216" s="62"/>
      <c r="I216" s="62"/>
      <c r="J216" s="62"/>
      <c r="K216" s="62"/>
      <c r="L216" s="62"/>
      <c r="M216" s="75"/>
      <c r="N216" s="62"/>
      <c r="O216" s="62"/>
      <c r="P216" s="62"/>
      <c r="Q216" s="62"/>
      <c r="R216" s="62"/>
      <c r="S216" s="62"/>
      <c r="T216" s="62"/>
      <c r="U216" s="82"/>
      <c r="V216" s="82"/>
      <c r="W216" s="62"/>
      <c r="X216" s="62"/>
      <c r="Y216" s="82"/>
      <c r="Z216" s="62"/>
      <c r="AA216" s="62"/>
      <c r="AB216" s="62"/>
      <c r="AC216" s="62"/>
      <c r="AD216" s="82"/>
      <c r="AE216" s="62"/>
      <c r="AF216" s="62"/>
      <c r="AG216" s="62"/>
      <c r="AH216" s="62"/>
      <c r="AI216" s="62"/>
      <c r="AJ216" s="62"/>
      <c r="AK216" s="62"/>
      <c r="AL216" s="80"/>
      <c r="AM216" s="62"/>
      <c r="AN216" s="62"/>
      <c r="AO216" s="62"/>
      <c r="AP216" s="62"/>
      <c r="AQ216" s="62"/>
    </row>
    <row r="217" spans="1:43">
      <c r="A217" s="65"/>
      <c r="B217" s="62"/>
      <c r="C217" s="80"/>
      <c r="D217" s="62"/>
      <c r="E217" s="62"/>
      <c r="F217" s="62"/>
      <c r="G217" s="62"/>
      <c r="H217" s="62"/>
      <c r="I217" s="62"/>
      <c r="J217" s="62"/>
      <c r="K217" s="62"/>
      <c r="L217" s="62"/>
      <c r="M217" s="75"/>
      <c r="N217" s="62"/>
      <c r="O217" s="62"/>
      <c r="P217" s="62"/>
      <c r="Q217" s="62"/>
      <c r="R217" s="62"/>
      <c r="S217" s="62"/>
      <c r="T217" s="62"/>
      <c r="U217" s="82"/>
      <c r="V217" s="82"/>
      <c r="W217" s="62"/>
      <c r="X217" s="62"/>
      <c r="Y217" s="82"/>
      <c r="Z217" s="62"/>
      <c r="AA217" s="62"/>
      <c r="AB217" s="62"/>
      <c r="AC217" s="62"/>
      <c r="AD217" s="82"/>
      <c r="AE217" s="62"/>
      <c r="AF217" s="62"/>
      <c r="AG217" s="62"/>
      <c r="AH217" s="62"/>
      <c r="AI217" s="62"/>
      <c r="AJ217" s="62"/>
      <c r="AK217" s="62"/>
      <c r="AL217" s="80"/>
      <c r="AM217" s="62"/>
      <c r="AN217" s="62"/>
      <c r="AO217" s="62"/>
      <c r="AP217" s="62"/>
      <c r="AQ217" s="62"/>
    </row>
    <row r="218" spans="1:43">
      <c r="A218" s="65"/>
      <c r="B218" s="62"/>
      <c r="C218" s="80"/>
      <c r="D218" s="62"/>
      <c r="E218" s="62"/>
      <c r="F218" s="62"/>
      <c r="G218" s="62"/>
      <c r="H218" s="62"/>
      <c r="I218" s="62"/>
      <c r="J218" s="62"/>
      <c r="K218" s="62"/>
      <c r="L218" s="62"/>
      <c r="M218" s="75"/>
      <c r="N218" s="62"/>
      <c r="O218" s="62"/>
      <c r="P218" s="62"/>
      <c r="Q218" s="62"/>
      <c r="R218" s="62"/>
      <c r="S218" s="62"/>
      <c r="T218" s="62"/>
      <c r="U218" s="82"/>
      <c r="V218" s="82"/>
      <c r="W218" s="62"/>
      <c r="X218" s="62"/>
      <c r="Y218" s="82"/>
      <c r="Z218" s="62"/>
      <c r="AA218" s="62"/>
      <c r="AB218" s="62"/>
      <c r="AC218" s="62"/>
      <c r="AD218" s="82"/>
      <c r="AE218" s="62"/>
      <c r="AF218" s="62"/>
      <c r="AG218" s="62"/>
      <c r="AH218" s="62"/>
      <c r="AI218" s="62"/>
      <c r="AJ218" s="62"/>
      <c r="AK218" s="62"/>
      <c r="AL218" s="80"/>
      <c r="AM218" s="62"/>
      <c r="AN218" s="62"/>
      <c r="AO218" s="62"/>
      <c r="AP218" s="62"/>
      <c r="AQ218" s="62"/>
    </row>
    <row r="219" spans="1:43">
      <c r="A219" s="65"/>
      <c r="B219" s="62"/>
      <c r="C219" s="80"/>
      <c r="D219" s="62"/>
      <c r="E219" s="62"/>
      <c r="F219" s="62"/>
      <c r="G219" s="62"/>
      <c r="H219" s="62"/>
      <c r="I219" s="62"/>
      <c r="J219" s="62"/>
      <c r="K219" s="62"/>
      <c r="L219" s="62"/>
      <c r="M219" s="75"/>
      <c r="N219" s="62"/>
      <c r="O219" s="62"/>
      <c r="P219" s="62"/>
      <c r="Q219" s="62"/>
      <c r="R219" s="62"/>
      <c r="S219" s="62"/>
      <c r="T219" s="62"/>
      <c r="U219" s="82"/>
      <c r="V219" s="82"/>
      <c r="W219" s="62"/>
      <c r="X219" s="62"/>
      <c r="Y219" s="82"/>
      <c r="Z219" s="62"/>
      <c r="AA219" s="62"/>
      <c r="AB219" s="62"/>
      <c r="AC219" s="62"/>
      <c r="AD219" s="82"/>
      <c r="AE219" s="62"/>
      <c r="AF219" s="62"/>
      <c r="AG219" s="62"/>
      <c r="AH219" s="62"/>
      <c r="AI219" s="62"/>
      <c r="AJ219" s="62"/>
      <c r="AK219" s="62"/>
      <c r="AL219" s="80"/>
      <c r="AM219" s="62"/>
      <c r="AN219" s="62"/>
      <c r="AO219" s="62"/>
      <c r="AP219" s="62"/>
      <c r="AQ219" s="62"/>
    </row>
    <row r="220" spans="1:43">
      <c r="A220" s="65"/>
      <c r="B220" s="62"/>
      <c r="C220" s="80"/>
      <c r="D220" s="62"/>
      <c r="E220" s="62"/>
      <c r="F220" s="62"/>
      <c r="G220" s="62"/>
      <c r="H220" s="62"/>
      <c r="I220" s="62"/>
      <c r="J220" s="62"/>
      <c r="K220" s="62"/>
      <c r="L220" s="62"/>
      <c r="M220" s="75"/>
      <c r="N220" s="62"/>
      <c r="O220" s="62"/>
      <c r="P220" s="62"/>
      <c r="Q220" s="62"/>
      <c r="R220" s="62"/>
      <c r="S220" s="62"/>
      <c r="T220" s="62"/>
      <c r="U220" s="82"/>
      <c r="V220" s="82"/>
      <c r="W220" s="62"/>
      <c r="X220" s="62"/>
      <c r="Y220" s="82"/>
      <c r="Z220" s="62"/>
      <c r="AA220" s="62"/>
      <c r="AB220" s="62"/>
      <c r="AC220" s="62"/>
      <c r="AD220" s="82"/>
      <c r="AE220" s="62"/>
      <c r="AF220" s="62"/>
      <c r="AG220" s="62"/>
      <c r="AH220" s="62"/>
      <c r="AI220" s="62"/>
      <c r="AJ220" s="62"/>
      <c r="AK220" s="62"/>
      <c r="AL220" s="80"/>
      <c r="AM220" s="62"/>
      <c r="AN220" s="62"/>
      <c r="AO220" s="62"/>
      <c r="AP220" s="62"/>
      <c r="AQ220" s="62"/>
    </row>
    <row r="221" spans="1:43">
      <c r="A221" s="65"/>
      <c r="B221" s="62"/>
      <c r="C221" s="80"/>
      <c r="D221" s="62"/>
      <c r="E221" s="62"/>
      <c r="F221" s="62"/>
      <c r="G221" s="62"/>
      <c r="H221" s="62"/>
      <c r="I221" s="62"/>
      <c r="J221" s="62"/>
      <c r="K221" s="62"/>
      <c r="L221" s="62"/>
      <c r="M221" s="75"/>
      <c r="N221" s="62"/>
      <c r="O221" s="62"/>
      <c r="P221" s="62"/>
      <c r="Q221" s="62"/>
      <c r="R221" s="62"/>
      <c r="S221" s="62"/>
      <c r="T221" s="62"/>
      <c r="U221" s="82"/>
      <c r="V221" s="82"/>
      <c r="W221" s="62"/>
      <c r="X221" s="62"/>
      <c r="Y221" s="82"/>
      <c r="Z221" s="62"/>
      <c r="AA221" s="62"/>
      <c r="AB221" s="62"/>
      <c r="AC221" s="62"/>
      <c r="AD221" s="82"/>
      <c r="AE221" s="62"/>
      <c r="AF221" s="62"/>
      <c r="AG221" s="62"/>
      <c r="AH221" s="62"/>
      <c r="AI221" s="62"/>
      <c r="AJ221" s="62"/>
      <c r="AK221" s="62"/>
      <c r="AL221" s="80"/>
      <c r="AM221" s="62"/>
      <c r="AN221" s="62"/>
      <c r="AO221" s="62"/>
      <c r="AP221" s="62"/>
      <c r="AQ221" s="62"/>
    </row>
    <row r="222" spans="1:43">
      <c r="A222" s="65"/>
      <c r="B222" s="62"/>
      <c r="C222" s="80"/>
      <c r="D222" s="62"/>
      <c r="E222" s="62"/>
      <c r="F222" s="62"/>
      <c r="G222" s="62"/>
      <c r="H222" s="62"/>
      <c r="I222" s="62"/>
      <c r="J222" s="62"/>
      <c r="K222" s="62"/>
      <c r="L222" s="62"/>
      <c r="M222" s="75"/>
      <c r="N222" s="62"/>
      <c r="O222" s="62"/>
      <c r="P222" s="62"/>
      <c r="Q222" s="62"/>
      <c r="R222" s="62"/>
      <c r="S222" s="62"/>
      <c r="T222" s="62"/>
      <c r="U222" s="82"/>
      <c r="V222" s="82"/>
      <c r="W222" s="62"/>
      <c r="X222" s="62"/>
      <c r="Y222" s="82"/>
      <c r="Z222" s="62"/>
      <c r="AA222" s="62"/>
      <c r="AB222" s="62"/>
      <c r="AC222" s="62"/>
      <c r="AD222" s="82"/>
      <c r="AE222" s="62"/>
      <c r="AF222" s="62"/>
      <c r="AG222" s="62"/>
      <c r="AH222" s="62"/>
      <c r="AI222" s="62"/>
      <c r="AJ222" s="62"/>
      <c r="AK222" s="62"/>
      <c r="AL222" s="80"/>
      <c r="AM222" s="62"/>
      <c r="AN222" s="62"/>
      <c r="AO222" s="62"/>
      <c r="AP222" s="62"/>
      <c r="AQ222" s="62"/>
    </row>
    <row r="223" spans="1:43">
      <c r="A223" s="65"/>
      <c r="B223" s="62"/>
      <c r="C223" s="80"/>
      <c r="D223" s="62"/>
      <c r="E223" s="62"/>
      <c r="F223" s="62"/>
      <c r="G223" s="62"/>
      <c r="H223" s="62"/>
      <c r="I223" s="62"/>
      <c r="J223" s="62"/>
      <c r="K223" s="62"/>
      <c r="L223" s="62"/>
      <c r="M223" s="75"/>
      <c r="N223" s="62"/>
      <c r="O223" s="62"/>
      <c r="P223" s="62"/>
      <c r="Q223" s="62"/>
      <c r="R223" s="62"/>
      <c r="S223" s="62"/>
      <c r="T223" s="62"/>
      <c r="U223" s="82"/>
      <c r="V223" s="82"/>
      <c r="W223" s="62"/>
      <c r="X223" s="62"/>
      <c r="Y223" s="82"/>
      <c r="Z223" s="62"/>
      <c r="AA223" s="62"/>
      <c r="AB223" s="62"/>
      <c r="AC223" s="62"/>
      <c r="AD223" s="82"/>
      <c r="AE223" s="62"/>
      <c r="AF223" s="62"/>
      <c r="AG223" s="62"/>
      <c r="AH223" s="62"/>
      <c r="AI223" s="62"/>
      <c r="AJ223" s="62"/>
      <c r="AK223" s="62"/>
      <c r="AL223" s="80"/>
      <c r="AM223" s="62"/>
      <c r="AN223" s="62"/>
      <c r="AO223" s="62"/>
      <c r="AP223" s="62"/>
      <c r="AQ223" s="62"/>
    </row>
  </sheetData>
  <autoFilter ref="A10:AJ213" xr:uid="{FC3EFB27-2E31-4F41-BBF2-44901A412DA0}"/>
  <mergeCells count="65">
    <mergeCell ref="BJ8:BL9"/>
    <mergeCell ref="BJ16:BL16"/>
    <mergeCell ref="BJ22:BL22"/>
    <mergeCell ref="AC7:AJ7"/>
    <mergeCell ref="AH8:AH10"/>
    <mergeCell ref="AK8:AK10"/>
    <mergeCell ref="C7:C10"/>
    <mergeCell ref="D7:D10"/>
    <mergeCell ref="L7:L10"/>
    <mergeCell ref="K7:K10"/>
    <mergeCell ref="J7:J10"/>
    <mergeCell ref="I7:I10"/>
    <mergeCell ref="F7:F10"/>
    <mergeCell ref="E7:E10"/>
    <mergeCell ref="H7:H10"/>
    <mergeCell ref="G7:G10"/>
    <mergeCell ref="M4:P4"/>
    <mergeCell ref="BH8:BH9"/>
    <mergeCell ref="BI8:BI9"/>
    <mergeCell ref="Y7:AB7"/>
    <mergeCell ref="V7:X7"/>
    <mergeCell ref="AB8:AB10"/>
    <mergeCell ref="AA8:AA10"/>
    <mergeCell ref="Z8:Z10"/>
    <mergeCell ref="AL7:AL10"/>
    <mergeCell ref="Y8:Y10"/>
    <mergeCell ref="AJ8:AJ10"/>
    <mergeCell ref="AI8:AI10"/>
    <mergeCell ref="AG8:AG10"/>
    <mergeCell ref="AD8:AD10"/>
    <mergeCell ref="AC8:AC10"/>
    <mergeCell ref="M7:M10"/>
    <mergeCell ref="P7:P9"/>
    <mergeCell ref="O7:O9"/>
    <mergeCell ref="N7:N9"/>
    <mergeCell ref="T8:T10"/>
    <mergeCell ref="R8:R10"/>
    <mergeCell ref="S8:S10"/>
    <mergeCell ref="Q8:Q10"/>
    <mergeCell ref="Q7:U7"/>
    <mergeCell ref="W8:W10"/>
    <mergeCell ref="X8:X10"/>
    <mergeCell ref="U8:U10"/>
    <mergeCell ref="V8:V10"/>
    <mergeCell ref="AE2:AE3"/>
    <mergeCell ref="AE4:AE5"/>
    <mergeCell ref="AD4:AD5"/>
    <mergeCell ref="AC2:AC3"/>
    <mergeCell ref="AC4:AC5"/>
    <mergeCell ref="AF2:AF3"/>
    <mergeCell ref="AF8:AF10"/>
    <mergeCell ref="AE8:AE10"/>
    <mergeCell ref="B7:B10"/>
    <mergeCell ref="AG2:AG3"/>
    <mergeCell ref="AG4:AG5"/>
    <mergeCell ref="M2:P3"/>
    <mergeCell ref="AF4:AF5"/>
    <mergeCell ref="Q2:Q3"/>
    <mergeCell ref="R2:R3"/>
    <mergeCell ref="U2:U3"/>
    <mergeCell ref="S4:T4"/>
    <mergeCell ref="S2:T3"/>
    <mergeCell ref="Y2:AA2"/>
    <mergeCell ref="V2:X2"/>
    <mergeCell ref="AD2:AD3"/>
  </mergeCells>
  <phoneticPr fontId="5" type="noConversion"/>
  <conditionalFormatting sqref="H11:H211">
    <cfRule type="cellIs" dxfId="30" priority="136" operator="equal">
      <formula>"MAJORS"</formula>
    </cfRule>
    <cfRule type="cellIs" dxfId="29" priority="137" operator="equal">
      <formula>"Exotics"</formula>
    </cfRule>
  </conditionalFormatting>
  <conditionalFormatting sqref="J11:J211">
    <cfRule type="cellIs" dxfId="28" priority="226" operator="equal">
      <formula>"retest"</formula>
    </cfRule>
  </conditionalFormatting>
  <conditionalFormatting sqref="M11:M211">
    <cfRule type="cellIs" dxfId="27" priority="256" operator="equal">
      <formula>"W"</formula>
    </cfRule>
    <cfRule type="cellIs" dxfId="26" priority="265" operator="equal">
      <formula>"L"</formula>
    </cfRule>
    <cfRule type="cellIs" dxfId="25" priority="266" operator="equal">
      <formula>"W"</formula>
    </cfRule>
  </conditionalFormatting>
  <conditionalFormatting sqref="AE4">
    <cfRule type="cellIs" dxfId="24" priority="22" operator="lessThan">
      <formula>0</formula>
    </cfRule>
    <cfRule type="cellIs" dxfId="23" priority="23" operator="greaterThan">
      <formula>0</formula>
    </cfRule>
  </conditionalFormatting>
  <conditionalFormatting sqref="AE11:AF20 AH11:AH211">
    <cfRule type="cellIs" dxfId="22" priority="162" operator="lessThan">
      <formula>0</formula>
    </cfRule>
    <cfRule type="cellIs" dxfId="21" priority="163" operator="greaterThan">
      <formula>0</formula>
    </cfRule>
  </conditionalFormatting>
  <conditionalFormatting sqref="AE21:AG211">
    <cfRule type="cellIs" dxfId="20" priority="10" operator="lessThan">
      <formula>0</formula>
    </cfRule>
    <cfRule type="cellIs" dxfId="19" priority="11" operator="greaterThan">
      <formula>0</formula>
    </cfRule>
  </conditionalFormatting>
  <conditionalFormatting sqref="AF4:AG4">
    <cfRule type="cellIs" dxfId="18" priority="14" operator="greaterThan">
      <formula>0</formula>
    </cfRule>
    <cfRule type="cellIs" dxfId="17" priority="15" operator="lessThan">
      <formula>0</formula>
    </cfRule>
  </conditionalFormatting>
  <conditionalFormatting sqref="AG20">
    <cfRule type="cellIs" dxfId="16" priority="1" operator="lessThan">
      <formula>0</formula>
    </cfRule>
    <cfRule type="cellIs" dxfId="15" priority="2" operator="greaterThan">
      <formula>0</formula>
    </cfRule>
  </conditionalFormatting>
  <conditionalFormatting sqref="AJ11:AK211">
    <cfRule type="cellIs" dxfId="14" priority="168" operator="greaterThan">
      <formula>0</formula>
    </cfRule>
    <cfRule type="cellIs" dxfId="13" priority="169" operator="lessThan">
      <formula>0</formula>
    </cfRule>
  </conditionalFormatting>
  <conditionalFormatting sqref="BD10:BD20 F4">
    <cfRule type="colorScale" priority="272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BE10:BE20">
    <cfRule type="dataBar" priority="269">
      <dataBar>
        <cfvo type="min"/>
        <cfvo type="max"/>
        <color rgb="FFDA9100"/>
      </dataBar>
      <extLst>
        <ext xmlns:x14="http://schemas.microsoft.com/office/spreadsheetml/2009/9/main" uri="{B025F937-C7B1-47D3-B67F-A62EFF666E3E}">
          <x14:id>{DF88A19E-09C8-490E-8B60-68250DAFC01D}</x14:id>
        </ext>
      </extLst>
    </cfRule>
  </conditionalFormatting>
  <conditionalFormatting sqref="BF10:BF19">
    <cfRule type="iconSet" priority="267">
      <iconSet iconSet="3Symbols2">
        <cfvo type="percent" val="0"/>
        <cfvo type="num" val="3"/>
        <cfvo type="num" val="5"/>
      </iconSet>
    </cfRule>
    <cfRule type="colorScale" priority="268">
      <colorScale>
        <cfvo type="num" val="-1"/>
        <cfvo type="num" val="3"/>
        <cfvo type="num" val="8"/>
        <color rgb="FFF8696B"/>
        <color rgb="FFFFEB84"/>
        <color rgb="FF63BE7B"/>
      </colorScale>
    </cfRule>
  </conditionalFormatting>
  <dataValidations xWindow="634" yWindow="490" count="13">
    <dataValidation type="list" allowBlank="1" showInputMessage="1" showErrorMessage="1" sqref="L11:L211" xr:uid="{00000000-0002-0000-0000-000000000000}">
      <formula1>$AR$10:$AR$11</formula1>
    </dataValidation>
    <dataValidation type="list" allowBlank="1" showInputMessage="1" showErrorMessage="1" sqref="M11:M211" xr:uid="{00000000-0002-0000-0000-000001000000}">
      <formula1>$AW$10:$AW$11</formula1>
    </dataValidation>
    <dataValidation type="list" allowBlank="1" showInputMessage="1" showErrorMessage="1" sqref="G11:G211" xr:uid="{00000000-0002-0000-0000-000003000000}">
      <formula1>$AT$10:$AT$12</formula1>
    </dataValidation>
    <dataValidation type="list" allowBlank="1" showInputMessage="1" showErrorMessage="1" sqref="E11:E211" xr:uid="{00000000-0002-0000-0000-000004000000}">
      <formula1>$AS$10:$AS$14</formula1>
    </dataValidation>
    <dataValidation type="list" allowBlank="1" showInputMessage="1" showErrorMessage="1" sqref="H11:H211" xr:uid="{00000000-0002-0000-0000-000007000000}">
      <formula1>$BA$10:$BA$14</formula1>
    </dataValidation>
    <dataValidation type="list" allowBlank="1" showInputMessage="1" showErrorMessage="1" sqref="J11:J211" xr:uid="{00000000-0002-0000-0000-000002000000}">
      <formula1>$AU$10:$AU$14</formula1>
    </dataValidation>
    <dataValidation type="list" allowBlank="1" showInputMessage="1" showErrorMessage="1" sqref="K212:K1048576" xr:uid="{E09B830C-58DD-AB48-AA17-22FA27B15463}">
      <formula1>$AV$10:$AV$20</formula1>
    </dataValidation>
    <dataValidation type="list" allowBlank="1" showInputMessage="1" showErrorMessage="1" sqref="M11:M211" xr:uid="{00000000-0002-0000-0000-000005000000}">
      <formula1>$AY$10:$AY$11</formula1>
    </dataValidation>
    <dataValidation type="list" allowBlank="1" showInputMessage="1" showErrorMessage="1" errorTitle="Não existente" error="O Par selecionado não existe" sqref="I11:I1048576" xr:uid="{C167ECCC-B7DC-BD4D-A660-690C90C2C4A7}">
      <formula1>$BH$10:$BH$200</formula1>
    </dataValidation>
    <dataValidation type="list" allowBlank="1" showInputMessage="1" showErrorMessage="1" sqref="K11:K211" xr:uid="{385A88B7-4306-464B-B915-D59E67185856}">
      <formula1>$AV$10:$AV$25</formula1>
    </dataValidation>
    <dataValidation type="list" allowBlank="1" showInputMessage="1" showErrorMessage="1" sqref="N10:N1048576" xr:uid="{383A326B-AF88-3D48-8ACD-C20BA19BF6D3}">
      <formula1>$BL$11:$BL$15</formula1>
    </dataValidation>
    <dataValidation type="list" allowBlank="1" showInputMessage="1" showErrorMessage="1" sqref="O10:O1048576" xr:uid="{E1EA3DDA-6E8A-254D-8CA4-27D0D7FC8C66}">
      <formula1>$BL$17:$BL$21</formula1>
    </dataValidation>
    <dataValidation type="list" allowBlank="1" showInputMessage="1" showErrorMessage="1" sqref="P11:P1048576" xr:uid="{93B933D2-D13A-9A47-AA1D-1E5BA4477805}">
      <formula1>$BL$23:$BL$28</formula1>
    </dataValidation>
  </dataValidations>
  <hyperlinks>
    <hyperlink ref="C11" r:id="rId1" display="https://www.tradingview.com/x/i1cAwdQj/" xr:uid="{8CD04BB1-A9EB-4447-9F36-A391AE06ED47}"/>
    <hyperlink ref="C16" r:id="rId2" display="https://www.tradingview.com/x/XdhrMTgW/" xr:uid="{7EF7C9B1-3FB9-2D4D-968E-5E1F7C8F7EBB}"/>
    <hyperlink ref="C18" r:id="rId3" display="83" xr:uid="{71606C88-62EE-407E-91BB-3C122827C3AC}"/>
    <hyperlink ref="C23" r:id="rId4" display="89" xr:uid="{6166634B-99D4-4FCF-9156-2306EA69C972}"/>
    <hyperlink ref="C25" r:id="rId5" display="91" xr:uid="{5FF28E02-189E-40B9-8A40-0BBE11134CA0}"/>
    <hyperlink ref="C24" r:id="rId6" display="90" xr:uid="{171116DD-1F43-4B25-872E-256483079050}"/>
    <hyperlink ref="C26" r:id="rId7" display="92" xr:uid="{D938AFFC-A65C-4476-BE2D-7BD250596745}"/>
    <hyperlink ref="C28" r:id="rId8" display="94" xr:uid="{9292FA6B-F3CA-460F-9B57-8DE79C713F58}"/>
    <hyperlink ref="C46" r:id="rId9" display="117" xr:uid="{20AC4CB6-3AF8-4892-940B-F989E336E4DA}"/>
    <hyperlink ref="C49" r:id="rId10" display="120" xr:uid="{510BB69B-C4AB-44B5-AD06-491CBCB41FF2}"/>
    <hyperlink ref="C50" r:id="rId11" display="121" xr:uid="{C107D865-2672-4D8F-BC50-06337CD07090}"/>
    <hyperlink ref="C51" r:id="rId12" display="122" xr:uid="{0D82A58C-85F6-43F8-AAF0-D0106D63F03D}"/>
    <hyperlink ref="C52" r:id="rId13" display="123" xr:uid="{69359964-7428-4B39-B337-F490EE5038D5}"/>
    <hyperlink ref="C53" r:id="rId14" display="124" xr:uid="{0061B3B2-7CF4-4D1D-AB91-968F91996780}"/>
    <hyperlink ref="C57" r:id="rId15" display="128" xr:uid="{5EEDA2FF-4458-49AC-AFDE-91CE9B281A38}"/>
    <hyperlink ref="C59" r:id="rId16" display="130" xr:uid="{28889763-671A-49C5-BA02-1295089706E7}"/>
    <hyperlink ref="C62" r:id="rId17" display="133" xr:uid="{2E5FE7CA-61C7-46AF-B177-EA579BE84E8D}"/>
    <hyperlink ref="C66" r:id="rId18" display="137" xr:uid="{59248E6A-41CE-45B1-8065-697FE920AAA3}"/>
  </hyperlinks>
  <pageMargins left="0.7" right="0.7" top="0.75" bottom="0.75" header="0.3" footer="0.3"/>
  <pageSetup paperSize="9" scale="12" orientation="landscape" horizontalDpi="300" verticalDpi="300" r:id="rId19"/>
  <ignoredErrors>
    <ignoredError sqref="Q78" evalError="1"/>
  </ignoredErrors>
  <legacyDrawing r:id="rId2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88A19E-09C8-490E-8B60-68250DAFC01D}">
            <x14:dataBar minLength="0" maxLength="100" border="1" gradient="0">
              <x14:cfvo type="autoMin"/>
              <x14:cfvo type="autoMax"/>
              <x14:borderColor theme="1" tint="0.499984740745262"/>
              <x14:negativeFillColor rgb="FFFF0000"/>
              <x14:axisColor rgb="FF000000"/>
            </x14:dataBar>
          </x14:cfRule>
          <xm:sqref>BE10:BE20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6BB1-EC8B-AE41-8894-4CB99099ED97}">
  <dimension ref="A3:K27"/>
  <sheetViews>
    <sheetView zoomScale="108" zoomScaleNormal="100" workbookViewId="0">
      <selection activeCell="E36" sqref="E36"/>
    </sheetView>
  </sheetViews>
  <sheetFormatPr defaultColWidth="11.42578125" defaultRowHeight="15"/>
  <cols>
    <col min="1" max="1" width="25.85546875" customWidth="1"/>
  </cols>
  <sheetData>
    <row r="3" spans="1:11">
      <c r="A3" s="234" t="s">
        <v>280</v>
      </c>
      <c r="B3" s="106" t="s">
        <v>281</v>
      </c>
      <c r="C3" s="106" t="s">
        <v>282</v>
      </c>
      <c r="D3" s="106" t="s">
        <v>283</v>
      </c>
      <c r="E3" s="106" t="s">
        <v>284</v>
      </c>
      <c r="F3" s="106" t="s">
        <v>285</v>
      </c>
    </row>
    <row r="4" spans="1:11">
      <c r="A4" s="234"/>
      <c r="B4" s="107">
        <f>COUNTIF('Registo de operações'!$E$11:$E$1001,'Registo de operações'!AS10)</f>
        <v>22</v>
      </c>
      <c r="C4" s="107">
        <f>COUNTIF('Registo de operações'!$E$11:$E$211,'Registo de operações'!AS11)</f>
        <v>15</v>
      </c>
      <c r="D4" s="107">
        <f>COUNTIF('Registo de operações'!$E$11:$E$211,'Registo de operações'!AS12)</f>
        <v>17</v>
      </c>
      <c r="E4" s="107">
        <f>COUNTIF('Registo de operações'!$E$11:$E$211,'Registo de operações'!AS13)</f>
        <v>18</v>
      </c>
      <c r="F4" s="107">
        <f>COUNTIF('Registo de operações'!$E$11:$E$211,'Registo de operações'!AS14)</f>
        <v>9</v>
      </c>
    </row>
    <row r="5" spans="1:11" hidden="1">
      <c r="A5" s="108" t="s">
        <v>286</v>
      </c>
      <c r="B5" s="109">
        <f>COUNTIFS('Registo de operações'!$E$11:$E$1001,'Registo de operações'!$AS$10,'Registo de operações'!$M$11:$M$1001,'Registo de operações'!$AW$10)</f>
        <v>8</v>
      </c>
      <c r="C5" s="109">
        <f>COUNTIFS('Registo de operações'!$E$11:$E$1001,'Registo de operações'!$AS$11,'Registo de operações'!$M$11:$M$1001,'Registo de operações'!$AW$10)</f>
        <v>9</v>
      </c>
      <c r="D5" s="109">
        <f>COUNTIFS('Registo de operações'!$E$11:$E$1001,'Registo de operações'!$AS$12,'Registo de operações'!$M$11:$M$1001,'Registo de operações'!$AW$10)</f>
        <v>4</v>
      </c>
      <c r="E5" s="109">
        <f>COUNTIFS('Registo de operações'!$E$11:$E$1001,'Registo de operações'!$AS$13,'Registo de operações'!$M$11:$M$1001,'Registo de operações'!$AW$10)</f>
        <v>5</v>
      </c>
      <c r="F5" s="109">
        <f>COUNTIFS('Registo de operações'!$E$11:$E$1001,'Registo de operações'!$AS$14,'Registo de operações'!$M$11:$M$1001,'Registo de operações'!$AW$10)</f>
        <v>1</v>
      </c>
    </row>
    <row r="6" spans="1:11" hidden="1">
      <c r="A6" s="108" t="s">
        <v>287</v>
      </c>
      <c r="B6" s="109">
        <f>COUNTIFS('Registo de operações'!$E$11:$E$1001,'Registo de operações'!$AS$10,'Registo de operações'!$M$11:$M$1001,'Registo de operações'!$AW$11)</f>
        <v>10</v>
      </c>
      <c r="C6" s="109">
        <f>COUNTIFS('Registo de operações'!$E$11:$E$1001,'Registo de operações'!$AS$11,'Registo de operações'!$M$11:$M$1001,'Registo de operações'!$AW$11)</f>
        <v>6</v>
      </c>
      <c r="D6" s="109">
        <f>COUNTIFS('Registo de operações'!$E$11:$E$1001,'Registo de operações'!$AS$12,'Registo de operações'!$M$11:$M$1001,'Registo de operações'!$AW$11)</f>
        <v>12</v>
      </c>
      <c r="E6" s="109">
        <f>COUNTIFS('Registo de operações'!$E$11:$E$1001,'Registo de operações'!$AS$13,'Registo de operações'!$M$11:$M$1001,'Registo de operações'!$AW$11)</f>
        <v>12</v>
      </c>
      <c r="F6" s="109">
        <f>COUNTIFS('Registo de operações'!$E$11:$E$1001,'Registo de operações'!$AS$14,'Registo de operações'!$M$11:$M$1001,'Registo de operações'!$AW$11)</f>
        <v>7</v>
      </c>
    </row>
    <row r="7" spans="1:11">
      <c r="A7" s="106" t="s">
        <v>288</v>
      </c>
      <c r="B7" s="110">
        <f>B5/B4</f>
        <v>0.36363636363636365</v>
      </c>
      <c r="C7" s="110">
        <f>C5/C4</f>
        <v>0.6</v>
      </c>
      <c r="D7" s="110">
        <f>D5/D4</f>
        <v>0.23529411764705882</v>
      </c>
      <c r="E7" s="110">
        <f>E5/E4</f>
        <v>0.27777777777777779</v>
      </c>
      <c r="F7" s="110">
        <f>F5/F4</f>
        <v>0.1111111111111111</v>
      </c>
    </row>
    <row r="8" spans="1:11">
      <c r="A8" s="106" t="s">
        <v>289</v>
      </c>
      <c r="B8" s="110"/>
      <c r="C8" s="110"/>
      <c r="D8" s="110"/>
      <c r="E8" s="110"/>
      <c r="F8" s="110"/>
    </row>
    <row r="9" spans="1:11">
      <c r="A9" s="106" t="s">
        <v>290</v>
      </c>
      <c r="B9" s="110"/>
      <c r="C9" s="110"/>
      <c r="D9" s="110"/>
      <c r="E9" s="110"/>
      <c r="F9" s="110"/>
    </row>
    <row r="10" spans="1:11">
      <c r="A10" s="113"/>
      <c r="B10" s="105"/>
      <c r="C10" s="105"/>
      <c r="D10" s="105"/>
      <c r="E10" s="105"/>
      <c r="F10" s="105"/>
    </row>
    <row r="11" spans="1:11">
      <c r="A11" s="103"/>
      <c r="B11" s="105"/>
      <c r="C11" s="105"/>
      <c r="D11" s="105"/>
      <c r="E11" s="105"/>
      <c r="F11" s="105"/>
    </row>
    <row r="12" spans="1:11">
      <c r="A12" s="234" t="s">
        <v>291</v>
      </c>
      <c r="B12" s="106" t="s">
        <v>292</v>
      </c>
      <c r="C12" s="106" t="s">
        <v>293</v>
      </c>
      <c r="D12" s="106" t="s">
        <v>294</v>
      </c>
      <c r="E12" s="106" t="s">
        <v>295</v>
      </c>
      <c r="F12" s="106" t="s">
        <v>296</v>
      </c>
      <c r="G12" s="106" t="s">
        <v>297</v>
      </c>
      <c r="H12" s="106" t="s">
        <v>298</v>
      </c>
      <c r="I12" s="106" t="s">
        <v>299</v>
      </c>
      <c r="J12" s="106" t="s">
        <v>300</v>
      </c>
      <c r="K12" s="106" t="s">
        <v>301</v>
      </c>
    </row>
    <row r="13" spans="1:11">
      <c r="A13" s="234"/>
      <c r="B13" s="107">
        <f>COUNTIF('Registo de operações'!$K$11:$K$211,'Registo de operações'!AV19)</f>
        <v>7</v>
      </c>
      <c r="C13" s="107">
        <f>COUNTIF('Registo de operações'!$K$11:$K$211,'Registo de operações'!$AV$18)</f>
        <v>5</v>
      </c>
      <c r="D13" s="107">
        <f>COUNTIF('Registo de operações'!$K$11:$K$211,'Registo de operações'!$AV$17)</f>
        <v>1</v>
      </c>
      <c r="E13" s="107">
        <f>COUNTIF('Registo de operações'!$K$11:$K$211,'Registo de operações'!$AV$16)</f>
        <v>1</v>
      </c>
      <c r="F13" s="107">
        <f>COUNTIF('Registo de operações'!$K$11:$K$211,'Registo de operações'!$AV$15)</f>
        <v>0</v>
      </c>
      <c r="G13" s="107">
        <f>COUNTIF('Registo de operações'!$K$11:$K$211,'Registo de operações'!$AV$14)</f>
        <v>0</v>
      </c>
      <c r="H13" s="107">
        <f>COUNTIF('Registo de operações'!$K$11:$K$211,'Registo de operações'!$AV$13)</f>
        <v>0</v>
      </c>
      <c r="I13" s="107">
        <f>COUNTIF('Registo de operações'!$K$11:$K$211,'Registo de operações'!$AV$12)</f>
        <v>0</v>
      </c>
      <c r="J13" s="107">
        <f>COUNTIF('Registo de operações'!$K$11:$K$211,'Registo de operações'!$AV$10)</f>
        <v>0</v>
      </c>
      <c r="K13" s="107">
        <f>COUNTIF('Registo de operações'!$K$11:$K$211,'Registo de operações'!$AV$20)</f>
        <v>0</v>
      </c>
    </row>
    <row r="14" spans="1:11" ht="15" hidden="1" customHeight="1">
      <c r="A14" s="108" t="s">
        <v>286</v>
      </c>
      <c r="B14" s="107">
        <f>COUNTIFS('Registo de operações'!$K$11:$K$1001,'Registo de operações'!$AV$19,'Registo de operações'!$M$11:$M$1001,'Registo de operações'!$AW$10)</f>
        <v>3</v>
      </c>
      <c r="C14" s="107">
        <f>COUNTIFS('Registo de operações'!$K$11:$K$1001,'Registo de operações'!$AV$18,'Registo de operações'!$M$11:$M$1001,'Registo de operações'!$AW$10)</f>
        <v>1</v>
      </c>
      <c r="D14" s="107">
        <f>COUNTIFS('Registo de operações'!$K$11:$K$1001,'Registo de operações'!$AV$17,'Registo de operações'!$M$11:$M$1001,'Registo de operações'!$AW$10)</f>
        <v>0</v>
      </c>
      <c r="E14" s="107">
        <f>COUNTIFS('Registo de operações'!$K$11:$K$1001,'Registo de operações'!$AV$16,'Registo de operações'!$M$11:$M$1001,'Registo de operações'!$AW$10)</f>
        <v>0</v>
      </c>
      <c r="F14" s="107">
        <f>COUNTIFS('Registo de operações'!$K$11:$K$1001,'Registo de operações'!$AV$15,'Registo de operações'!$M$11:$M$1001,'Registo de operações'!$AW$10)</f>
        <v>0</v>
      </c>
      <c r="G14" s="107">
        <f>COUNTIFS('Registo de operações'!$K$11:$K$1001,'Registo de operações'!$AV$14,'Registo de operações'!$M$11:$M$1001,'Registo de operações'!$AW$10)</f>
        <v>0</v>
      </c>
      <c r="H14" s="107">
        <f>COUNTIFS('Registo de operações'!$K$11:$K$1001,'Registo de operações'!$AV$13,'Registo de operações'!$M$11:$M$1001,'Registo de operações'!$AW$10)</f>
        <v>0</v>
      </c>
      <c r="I14" s="107">
        <f>COUNTIFS('Registo de operações'!$K$11:$K$1001,'Registo de operações'!$AV$12,'Registo de operações'!$M$11:$M$1001,'Registo de operações'!$AW$10)</f>
        <v>0</v>
      </c>
      <c r="J14" s="107">
        <f>COUNTIFS('Registo de operações'!$K$11:$K$1001,'Registo de operações'!$AV$10,'Registo de operações'!$M$11:$M$1001,'Registo de operações'!$AW$10)</f>
        <v>0</v>
      </c>
      <c r="K14" s="107">
        <f>COUNTIFS('Registo de operações'!$K$11:$K$1001,'Registo de operações'!$AV$20,'Registo de operações'!$M$11:$M$1001,'Registo de operações'!$AW$10)</f>
        <v>0</v>
      </c>
    </row>
    <row r="15" spans="1:11" ht="15" hidden="1" customHeight="1">
      <c r="A15" s="108" t="s">
        <v>287</v>
      </c>
      <c r="B15" s="107">
        <f>COUNTIFS('Registo de operações'!$K$11:$K$1001,'Registo de operações'!$AV$19,'Registo de operações'!$M$11:$M$1001,'Registo de operações'!$AW$11)</f>
        <v>3</v>
      </c>
      <c r="C15" s="107">
        <f>COUNTIFS('Registo de operações'!$K$11:$K$1001,'Registo de operações'!$AV$18,'Registo de operações'!$M$11:$M$1001,'Registo de operações'!$AW$11)</f>
        <v>4</v>
      </c>
      <c r="D15" s="107">
        <f>COUNTIFS('Registo de operações'!$K$11:$K$1001,'Registo de operações'!$AV$17,'Registo de operações'!$M$11:$M$1001,'Registo de operações'!$AW$11)</f>
        <v>0</v>
      </c>
      <c r="E15" s="107">
        <f>COUNTIFS('Registo de operações'!$K$11:$K$1001,'Registo de operações'!$AV$16,'Registo de operações'!$M$11:$M$1001,'Registo de operações'!$AW$11)</f>
        <v>1</v>
      </c>
      <c r="F15" s="107">
        <f>COUNTIFS('Registo de operações'!$K$11:$K$1001,'Registo de operações'!$AV$15,'Registo de operações'!$M$11:$M$1001,'Registo de operações'!$AW$11)</f>
        <v>0</v>
      </c>
      <c r="G15" s="107">
        <f>COUNTIFS('Registo de operações'!$K$11:$K$1001,'Registo de operações'!$AV$14,'Registo de operações'!$M$11:$M$1001,'Registo de operações'!$AW$11)</f>
        <v>0</v>
      </c>
      <c r="H15" s="107">
        <f>COUNTIFS('Registo de operações'!$K$11:$K$1001,'Registo de operações'!$AV$13,'Registo de operações'!$M$11:$M$1001,'Registo de operações'!$AW$11)</f>
        <v>0</v>
      </c>
      <c r="I15" s="107">
        <f>COUNTIFS('Registo de operações'!$K$11:$K$1001,'Registo de operações'!$AV$12,'Registo de operações'!$M$11:$M$1001,'Registo de operações'!$AW$11)</f>
        <v>0</v>
      </c>
      <c r="J15" s="107">
        <f>COUNTIFS('Registo de operações'!$K$11:$K$1001,'Registo de operações'!$AV$10,'Registo de operações'!$M$11:$M$1001,'Registo de operações'!$AW$11)</f>
        <v>0</v>
      </c>
      <c r="K15" s="107">
        <f>COUNTIFS('Registo de operações'!$K$11:$K$1001,'Registo de operações'!$AV$20,'Registo de operações'!$M$11:$M$1001,'Registo de operações'!$AW$11)</f>
        <v>0</v>
      </c>
    </row>
    <row r="16" spans="1:11">
      <c r="A16" s="106" t="s">
        <v>288</v>
      </c>
      <c r="B16" s="112">
        <f t="shared" ref="B16:K16" si="0">B14/B13</f>
        <v>0.42857142857142855</v>
      </c>
      <c r="C16" s="112">
        <f t="shared" si="0"/>
        <v>0.2</v>
      </c>
      <c r="D16" s="112">
        <f t="shared" si="0"/>
        <v>0</v>
      </c>
      <c r="E16" s="112">
        <f t="shared" si="0"/>
        <v>0</v>
      </c>
      <c r="F16" s="112" t="e">
        <f t="shared" si="0"/>
        <v>#DIV/0!</v>
      </c>
      <c r="G16" s="112" t="e">
        <f t="shared" si="0"/>
        <v>#DIV/0!</v>
      </c>
      <c r="H16" s="112" t="e">
        <f t="shared" si="0"/>
        <v>#DIV/0!</v>
      </c>
      <c r="I16" s="112" t="e">
        <f t="shared" si="0"/>
        <v>#DIV/0!</v>
      </c>
      <c r="J16" s="112" t="e">
        <f t="shared" si="0"/>
        <v>#DIV/0!</v>
      </c>
      <c r="K16" s="112" t="e">
        <f t="shared" si="0"/>
        <v>#DIV/0!</v>
      </c>
    </row>
    <row r="17" spans="1:11">
      <c r="A17" s="238" t="s">
        <v>63</v>
      </c>
      <c r="B17" s="239"/>
      <c r="C17" s="239"/>
      <c r="D17" s="239"/>
      <c r="E17" s="239"/>
      <c r="F17" s="239"/>
      <c r="G17" s="239"/>
      <c r="H17" s="239"/>
      <c r="I17" s="239"/>
      <c r="J17" s="239"/>
      <c r="K17" s="239"/>
    </row>
    <row r="18" spans="1:11">
      <c r="A18" s="106" t="s">
        <v>302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</row>
    <row r="19" spans="1:11">
      <c r="A19" s="106" t="s">
        <v>303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</row>
    <row r="20" spans="1:11">
      <c r="A20" s="106" t="s">
        <v>304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</row>
    <row r="22" spans="1:11">
      <c r="A22" s="234" t="s">
        <v>305</v>
      </c>
      <c r="B22" s="106" t="s">
        <v>306</v>
      </c>
      <c r="C22" s="106" t="s">
        <v>303</v>
      </c>
      <c r="D22" s="106" t="s">
        <v>304</v>
      </c>
      <c r="E22" s="106" t="s">
        <v>5</v>
      </c>
    </row>
    <row r="23" spans="1:11">
      <c r="A23" s="234"/>
      <c r="B23" s="107">
        <f>COUNTIF('Registo de operações'!$J$11:$J$1001,'Registo de operações'!AU11)</f>
        <v>25</v>
      </c>
      <c r="C23" s="107">
        <f>COUNTIF('Registo de operações'!$J$11:$J$1001,'Registo de operações'!AU12)</f>
        <v>2</v>
      </c>
      <c r="D23" s="107">
        <f>COUNTIF('Registo de operações'!$J$11:$J$1001,'Registo de operações'!AU10)</f>
        <v>26</v>
      </c>
      <c r="E23" s="235">
        <f>SUM(B23:D23)</f>
        <v>53</v>
      </c>
    </row>
    <row r="24" spans="1:11" ht="15" hidden="1" customHeight="1">
      <c r="A24" s="108" t="s">
        <v>286</v>
      </c>
      <c r="B24" s="111">
        <f>COUNTIFS('Registo de operações'!$J$11:$J$1001,'Registo de operações'!$AU$11,'Registo de operações'!$M$11:$M$1001,'Registo de operações'!AW10)</f>
        <v>8</v>
      </c>
      <c r="C24" s="109">
        <f>COUNTIFS('Registo de operações'!$J$11:$J$1001,'Registo de operações'!$AU$12,'Registo de operações'!$M$11:$M$1001,'Registo de operações'!AW10)</f>
        <v>1</v>
      </c>
      <c r="D24" s="109">
        <f>COUNTIFS('Registo de operações'!$J$11:$J$1001,'Registo de operações'!$AU$10,'Registo de operações'!$M$11:$M$1001,'Registo de operações'!AW10)</f>
        <v>10</v>
      </c>
      <c r="E24" s="236"/>
    </row>
    <row r="25" spans="1:11" ht="15" hidden="1" customHeight="1">
      <c r="A25" s="108" t="s">
        <v>287</v>
      </c>
      <c r="B25" s="111">
        <f>COUNTIFS('Registo de operações'!$J$11:$J$1001,'Registo de operações'!$AU$11,'Registo de operações'!$M$11:$M$1001,'Registo de operações'!AW11)</f>
        <v>15</v>
      </c>
      <c r="C25" s="109">
        <f>COUNTIFS('Registo de operações'!$J$11:$J$1001,'Registo de operações'!$AU$12,'Registo de operações'!$M$11:$M$1001,'Registo de operações'!AW11)</f>
        <v>1</v>
      </c>
      <c r="D25" s="109">
        <f>COUNTIFS('Registo de operações'!$J$11:$J$1001,'Registo de operações'!$AU$10,'Registo de operações'!$M$11:$M$1001,'Registo de operações'!AW11)</f>
        <v>13</v>
      </c>
      <c r="E25" s="236"/>
    </row>
    <row r="26" spans="1:11">
      <c r="A26" s="106" t="s">
        <v>307</v>
      </c>
      <c r="B26" s="110">
        <f>B24/B23</f>
        <v>0.32</v>
      </c>
      <c r="C26" s="110">
        <f>C24/C23</f>
        <v>0.5</v>
      </c>
      <c r="D26" s="110">
        <f>D24/D23</f>
        <v>0.38461538461538464</v>
      </c>
      <c r="E26" s="237"/>
    </row>
    <row r="27" spans="1:11">
      <c r="B27" s="104"/>
      <c r="C27" s="104"/>
      <c r="D27" s="104"/>
    </row>
  </sheetData>
  <mergeCells count="5">
    <mergeCell ref="A3:A4"/>
    <mergeCell ref="A12:A13"/>
    <mergeCell ref="A22:A23"/>
    <mergeCell ref="E23:E26"/>
    <mergeCell ref="A17:K17"/>
  </mergeCells>
  <conditionalFormatting sqref="B26:D26">
    <cfRule type="colorScale" priority="1">
      <colorScale>
        <cfvo type="min"/>
        <cfvo type="percentile" val="50"/>
        <cfvo type="max"/>
        <color rgb="FFFF7128"/>
        <color rgb="FFFFEB84"/>
        <color theme="9"/>
      </colorScale>
    </cfRule>
  </conditionalFormatting>
  <conditionalFormatting sqref="B7:F11">
    <cfRule type="colorScale" priority="265">
      <colorScale>
        <cfvo type="min"/>
        <cfvo type="percentile" val="50"/>
        <cfvo type="max"/>
        <color rgb="FFFF7128"/>
        <color rgb="FFFFEB84"/>
        <color theme="9"/>
      </colorScale>
    </cfRule>
  </conditionalFormatting>
  <conditionalFormatting sqref="B16:K16 B18:K20">
    <cfRule type="colorScale" priority="2">
      <colorScale>
        <cfvo type="min"/>
        <cfvo type="percentile" val="50"/>
        <cfvo type="max"/>
        <color rgb="FFFF7128"/>
        <color rgb="FFFFEB84"/>
        <color theme="9"/>
      </colorScale>
    </cfRule>
  </conditionalFormatting>
  <pageMargins left="0.7" right="0.7" top="0.75" bottom="0.75" header="0.3" footer="0.3"/>
  <pageSetup paperSize="9" orientation="portrait" horizontalDpi="0" verticalDpi="0"/>
  <ignoredErrors>
    <ignoredError sqref="D1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037C-60C9-4AA6-B910-A96A9DEF89FF}">
  <dimension ref="A1"/>
  <sheetViews>
    <sheetView zoomScale="61" zoomScaleNormal="100" workbookViewId="0">
      <selection activeCell="C54" sqref="C54"/>
    </sheetView>
  </sheetViews>
  <sheetFormatPr defaultColWidth="8.85546875" defaultRowHeight="15"/>
  <sheetData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4"/>
  <sheetViews>
    <sheetView topLeftCell="A36" zoomScaleNormal="100" workbookViewId="0">
      <selection activeCell="I62" sqref="I62"/>
    </sheetView>
  </sheetViews>
  <sheetFormatPr defaultColWidth="8" defaultRowHeight="11.1"/>
  <cols>
    <col min="1" max="1" width="5.140625" style="1" bestFit="1" customWidth="1"/>
    <col min="2" max="2" width="7" style="1" bestFit="1" customWidth="1"/>
    <col min="3" max="3" width="6.42578125" style="1" bestFit="1" customWidth="1"/>
    <col min="4" max="4" width="8" style="1" bestFit="1" customWidth="1"/>
    <col min="5" max="5" width="7.7109375" style="1" bestFit="1" customWidth="1"/>
    <col min="6" max="16384" width="8" style="1"/>
  </cols>
  <sheetData>
    <row r="1" spans="1:14" ht="12.95">
      <c r="G1" s="23"/>
      <c r="H1" s="26" t="s">
        <v>79</v>
      </c>
      <c r="I1" s="26" t="s">
        <v>85</v>
      </c>
      <c r="J1" s="26" t="s">
        <v>112</v>
      </c>
      <c r="K1" s="240" t="s">
        <v>302</v>
      </c>
      <c r="L1" s="241"/>
      <c r="M1" s="240" t="s">
        <v>304</v>
      </c>
      <c r="N1" s="241"/>
    </row>
    <row r="2" spans="1:14" ht="12.95">
      <c r="B2" s="2">
        <f>SUM(B5:B204)</f>
        <v>0.43638742209316611</v>
      </c>
      <c r="C2" s="2">
        <f>SUM(C5:C204)</f>
        <v>-0.43733417281251907</v>
      </c>
      <c r="D2" s="3">
        <f>SUM(D5:D204)</f>
        <v>4242.6641264292257</v>
      </c>
      <c r="E2" s="3">
        <f>SUM(E5:E204)</f>
        <v>-4302.87636205942</v>
      </c>
      <c r="G2" s="24" t="s">
        <v>75</v>
      </c>
      <c r="H2" s="27" t="e">
        <f>COUNTIFS(#REF!,"Majors",$L$11:$L$210,"W")</f>
        <v>#REF!</v>
      </c>
      <c r="I2" s="27" t="e">
        <f>COUNTIFS(#REF!,"Minors",$L$11:$L$210,"W")</f>
        <v>#REF!</v>
      </c>
      <c r="J2" s="27" t="e">
        <f>COUNTIFS(#REF!,"Exotics",$L$11:$L$210,"W")</f>
        <v>#REF!</v>
      </c>
      <c r="K2" s="27">
        <v>6</v>
      </c>
      <c r="L2" s="29" t="e">
        <f>K2*100%/#REF!</f>
        <v>#REF!</v>
      </c>
      <c r="M2" s="27">
        <v>11</v>
      </c>
      <c r="N2" s="29">
        <f>M2*100%/$C$5</f>
        <v>-1100</v>
      </c>
    </row>
    <row r="3" spans="1:14" ht="12.95">
      <c r="B3" s="2">
        <f>AVERAGE(B5:B204)</f>
        <v>1.4546247403105537E-2</v>
      </c>
      <c r="C3" s="2">
        <f>AVERAGE(C5:C204)</f>
        <v>-8.9251872002554921E-3</v>
      </c>
      <c r="D3" s="3">
        <f>AVERAGE(D5:D204)</f>
        <v>141.42213754764086</v>
      </c>
      <c r="E3" s="3">
        <f>AVERAGE(E5:E204)</f>
        <v>-87.813803307335107</v>
      </c>
      <c r="G3" s="24" t="s">
        <v>89</v>
      </c>
      <c r="H3" s="27" t="e">
        <f>H4-H2</f>
        <v>#REF!</v>
      </c>
      <c r="I3" s="27" t="e">
        <f>I4-I2</f>
        <v>#REF!</v>
      </c>
      <c r="J3" s="27" t="e">
        <f>J4-J2</f>
        <v>#REF!</v>
      </c>
      <c r="K3" s="27">
        <v>7</v>
      </c>
      <c r="L3" s="29" t="e">
        <f>K3*100%/#REF!</f>
        <v>#REF!</v>
      </c>
      <c r="M3" s="27">
        <v>14</v>
      </c>
      <c r="N3" s="29">
        <f>M3*100%/$C$5</f>
        <v>-1400</v>
      </c>
    </row>
    <row r="4" spans="1:14" s="13" customFormat="1" ht="45" customHeight="1">
      <c r="A4" s="10" t="s">
        <v>19</v>
      </c>
      <c r="B4" s="11" t="s">
        <v>308</v>
      </c>
      <c r="C4" s="11" t="s">
        <v>309</v>
      </c>
      <c r="D4" s="11" t="s">
        <v>310</v>
      </c>
      <c r="E4" s="12" t="s">
        <v>311</v>
      </c>
      <c r="G4" s="25" t="s">
        <v>5</v>
      </c>
      <c r="H4" s="28" t="e">
        <f>COUNTIF(#REF!,"MAJORS")</f>
        <v>#REF!</v>
      </c>
      <c r="I4" s="28" t="e">
        <f>COUNTIF(#REF!,"minors")</f>
        <v>#REF!</v>
      </c>
      <c r="J4" s="28" t="e">
        <f>COUNTIF(#REF!,"Exotics")</f>
        <v>#REF!</v>
      </c>
      <c r="K4" s="28">
        <f>SUM(K2:K3)</f>
        <v>13</v>
      </c>
      <c r="L4" s="30" t="e">
        <f>SUM(L2:L3)</f>
        <v>#REF!</v>
      </c>
      <c r="M4" s="28">
        <f>SUM(M2:M3)</f>
        <v>25</v>
      </c>
      <c r="N4" s="30">
        <f>SUM(N2:N3)</f>
        <v>-2500</v>
      </c>
    </row>
    <row r="5" spans="1:14" ht="10.5" customHeight="1">
      <c r="A5" s="7">
        <f>'Registo de operações'!C11</f>
        <v>77</v>
      </c>
      <c r="B5" s="5" t="str">
        <f>IF('Registo de operações'!AJ11&gt;0,'Registo de operações'!AJ11,"")</f>
        <v/>
      </c>
      <c r="C5" s="5">
        <f>IF('Registo de operações'!AJ11&lt;0,'Registo de operações'!AJ11,"")</f>
        <v>-0.01</v>
      </c>
      <c r="D5" s="6" t="str">
        <f>IF('Registo de operações'!AG11&gt;0,'Registo de operações'!AG11,"")</f>
        <v/>
      </c>
      <c r="E5" s="8">
        <f>IF('Registo de operações'!AG11&lt;0,'Registo de operações'!AG11,"")</f>
        <v>-100</v>
      </c>
    </row>
    <row r="6" spans="1:14">
      <c r="A6" s="7">
        <f>'Registo de operações'!C12</f>
        <v>78</v>
      </c>
      <c r="B6" s="5" t="str">
        <f>IF('Registo de operações'!AJ12&gt;0,'Registo de operações'!AJ12,"")</f>
        <v/>
      </c>
      <c r="C6" s="5">
        <f>IF('Registo de operações'!AJ12&lt;0,'Registo de operações'!AJ12,"")</f>
        <v>-0.01</v>
      </c>
      <c r="D6" s="6" t="str">
        <f>IF('Registo de operações'!AG12&gt;0,'Registo de operações'!AG12,"")</f>
        <v/>
      </c>
      <c r="E6" s="8">
        <f>IF('Registo de operações'!AG12&lt;0,'Registo de operações'!AG12,"")</f>
        <v>-98.987000000000009</v>
      </c>
    </row>
    <row r="7" spans="1:14">
      <c r="A7" s="7">
        <f>'Registo de operações'!C13</f>
        <v>79</v>
      </c>
      <c r="B7" s="5" t="str">
        <f>IF('Registo de operações'!AJ13&gt;0,'Registo de operações'!AJ13,"")</f>
        <v/>
      </c>
      <c r="C7" s="5">
        <f>IF('Registo de operações'!AJ13&lt;0,'Registo de operações'!AJ13,"")</f>
        <v>-0.01</v>
      </c>
      <c r="D7" s="6" t="str">
        <f>IF('Registo de operações'!AG13&gt;0,'Registo de operações'!AG13,"")</f>
        <v/>
      </c>
      <c r="E7" s="8">
        <f>IF('Registo de operações'!AG13&lt;0,'Registo de operações'!AG13,"")</f>
        <v>-97.857330000000005</v>
      </c>
    </row>
    <row r="8" spans="1:14">
      <c r="A8" s="7">
        <f>'Registo de operações'!C14</f>
        <v>80</v>
      </c>
      <c r="B8" s="5" t="str">
        <f>IF('Registo de operações'!AJ14&gt;0,'Registo de operações'!AJ14,"")</f>
        <v/>
      </c>
      <c r="C8" s="5">
        <f>IF('Registo de operações'!AJ14&lt;0,'Registo de operações'!AJ14,"")</f>
        <v>-0.01</v>
      </c>
      <c r="D8" s="6" t="str">
        <f>IF('Registo de operações'!AG14&gt;0,'Registo de operações'!AG14,"")</f>
        <v/>
      </c>
      <c r="E8" s="8">
        <f>IF('Registo de operações'!AG14&lt;0,'Registo de operações'!AG14,"")</f>
        <v>-96.692356700000005</v>
      </c>
    </row>
    <row r="9" spans="1:14">
      <c r="A9" s="7">
        <f>'Registo de operações'!C15</f>
        <v>81</v>
      </c>
      <c r="B9" s="5">
        <f>IF('Registo de operações'!AJ15&gt;0,'Registo de operações'!AJ15,"")</f>
        <v>2.4285714285709754E-2</v>
      </c>
      <c r="C9" s="5" t="str">
        <f>IF('Registo de operações'!AJ15&lt;0,'Registo de operações'!AJ15,"")</f>
        <v/>
      </c>
      <c r="D9" s="6">
        <f>IF('Registo de operações'!AG15&gt;0,'Registo de operações'!AG15,"")</f>
        <v>231.93788046581389</v>
      </c>
      <c r="E9" s="8" t="str">
        <f>IF('Registo de operações'!AG15&lt;0,'Registo de operações'!AG15,"")</f>
        <v/>
      </c>
    </row>
    <row r="10" spans="1:14">
      <c r="A10" s="7">
        <f>'Registo de operações'!C16</f>
        <v>82</v>
      </c>
      <c r="B10" s="5">
        <f>IF('Registo de operações'!AJ16&gt;0,'Registo de operações'!AJ16,"")</f>
        <v>2.9000000000004439E-2</v>
      </c>
      <c r="C10" s="5" t="str">
        <f>IF('Registo de operações'!AJ16&lt;0,'Registo de operações'!AJ16,"")</f>
        <v/>
      </c>
      <c r="D10" s="6">
        <f>IF('Registo de operações'!AG16&gt;0,'Registo de operações'!AG16,"")</f>
        <v>283.29262461925202</v>
      </c>
      <c r="E10" s="8" t="str">
        <f>IF('Registo de operações'!AG16&lt;0,'Registo de operações'!AG16,"")</f>
        <v/>
      </c>
    </row>
    <row r="11" spans="1:14">
      <c r="A11" s="7">
        <f>'Registo de operações'!C17</f>
        <v>83</v>
      </c>
      <c r="B11" s="5">
        <f>IF('Registo de operações'!AJ17&gt;0,'Registo de operações'!AJ17,"")</f>
        <v>1.6228038680002811E-2</v>
      </c>
      <c r="C11" s="5" t="str">
        <f>IF('Registo de operações'!AJ17&lt;0,'Registo de operações'!AJ17,"")</f>
        <v/>
      </c>
      <c r="D11" s="6">
        <f>IF('Registo de operações'!AG17&gt;0,'Registo de operações'!AG17,"")</f>
        <v>163</v>
      </c>
      <c r="E11" s="8" t="str">
        <f>IF('Registo de operações'!AG17&lt;0,'Registo de operações'!AG17,"")</f>
        <v/>
      </c>
    </row>
    <row r="12" spans="1:14">
      <c r="A12" s="7">
        <f>'Registo de operações'!C18</f>
        <v>84</v>
      </c>
      <c r="B12" s="5" t="str">
        <f>IF('Registo de operações'!AJ18&gt;0,'Registo de operações'!AJ18,"")</f>
        <v/>
      </c>
      <c r="C12" s="5">
        <f>IF('Registo de operações'!AJ18&lt;0,'Registo de operações'!AJ18,"")</f>
        <v>-0.01</v>
      </c>
      <c r="D12" s="6" t="str">
        <f>IF('Registo de operações'!AG18&gt;0,'Registo de operações'!AG18,"")</f>
        <v/>
      </c>
      <c r="E12" s="8">
        <f>IF('Registo de operações'!AG18&lt;0,'Registo de operações'!AG18,"")</f>
        <v>-102.00013818385067</v>
      </c>
    </row>
    <row r="13" spans="1:14">
      <c r="A13" s="7">
        <f>'Registo de operações'!C19</f>
        <v>85</v>
      </c>
      <c r="B13" s="5">
        <f>IF('Registo de operações'!AJ19&gt;0,'Registo de operações'!AJ19,"")</f>
        <v>6.9533960166722527E-3</v>
      </c>
      <c r="C13" s="5" t="str">
        <f>IF('Registo de operações'!AJ19&lt;0,'Registo de operações'!AJ19,"")</f>
        <v/>
      </c>
      <c r="D13" s="6">
        <f>IF('Registo de operações'!AG19&gt;0,'Registo de operações'!AG19,"")</f>
        <v>70.16</v>
      </c>
      <c r="E13" s="8" t="str">
        <f>IF('Registo de operações'!AG19&lt;0,'Registo de operações'!AG19,"")</f>
        <v/>
      </c>
    </row>
    <row r="14" spans="1:14">
      <c r="A14" s="7">
        <f>'Registo de operações'!C20</f>
        <v>86</v>
      </c>
      <c r="B14" s="5" t="str">
        <f>IF('Registo de operações'!AJ20&gt;0,'Registo de operações'!AJ20,"")</f>
        <v/>
      </c>
      <c r="C14" s="5">
        <f>IF('Registo de operações'!AJ20&lt;0,'Registo de operações'!AJ20,"")</f>
        <v>-1.9882412613288999E-3</v>
      </c>
      <c r="D14" s="6" t="str">
        <f>IF('Registo de operações'!AG20&gt;0,'Registo de operações'!AG20,"")</f>
        <v/>
      </c>
      <c r="E14" s="8">
        <f>IF('Registo de operações'!AG20&lt;0,'Registo de operações'!AG20,"")</f>
        <v>-20.18</v>
      </c>
    </row>
    <row r="15" spans="1:14">
      <c r="A15" s="7">
        <f>'Registo de operações'!C21</f>
        <v>87</v>
      </c>
      <c r="B15" s="5" t="str">
        <f>IF('Registo de operações'!AJ21&gt;0,'Registo de operações'!AJ21,"")</f>
        <v/>
      </c>
      <c r="C15" s="5" t="str">
        <f>IF('Registo de operações'!AJ21&lt;0,'Registo de operações'!AJ21,"")</f>
        <v/>
      </c>
      <c r="D15" s="6" t="str">
        <f>IF('Registo de operações'!AG21&gt;0,'Registo de operações'!AG21,"")</f>
        <v/>
      </c>
      <c r="E15" s="8" t="str">
        <f>IF('Registo de operações'!AG21&lt;0,'Registo de operações'!AG21,"")</f>
        <v/>
      </c>
    </row>
    <row r="16" spans="1:14">
      <c r="A16" s="7">
        <f>'Registo de operações'!C22</f>
        <v>88</v>
      </c>
      <c r="B16" s="5" t="str">
        <f>IF('Registo de operações'!AJ22&gt;0,'Registo de operações'!AJ22,"")</f>
        <v/>
      </c>
      <c r="C16" s="5">
        <f>IF('Registo de operações'!AJ22&lt;0,'Registo de operações'!AJ22,"")</f>
        <v>-5.2185515963277442E-3</v>
      </c>
      <c r="D16" s="6" t="str">
        <f>IF('Registo de operações'!AG22&gt;0,'Registo de operações'!AG22,"")</f>
        <v/>
      </c>
      <c r="E16" s="8">
        <f>IF('Registo de operações'!AG22&lt;0,'Registo de operações'!AG22,"")</f>
        <v>-52.79</v>
      </c>
    </row>
    <row r="17" spans="1:5">
      <c r="A17" s="7">
        <f>'Registo de operações'!C23</f>
        <v>89</v>
      </c>
      <c r="B17" s="5" t="str">
        <f>IF('Registo de operações'!AJ23&gt;0,'Registo de operações'!AJ23,"")</f>
        <v/>
      </c>
      <c r="C17" s="5">
        <f>IF('Registo de operações'!AJ23&lt;0,'Registo de operações'!AJ23,"")</f>
        <v>-6.1288265327230857E-4</v>
      </c>
      <c r="D17" s="6" t="str">
        <f>IF('Registo de operações'!AG23&gt;0,'Registo de operações'!AG23,"")</f>
        <v/>
      </c>
      <c r="E17" s="8">
        <f>IF('Registo de operações'!AG23&lt;0,'Registo de operações'!AG23,"")</f>
        <v>-6.16</v>
      </c>
    </row>
    <row r="18" spans="1:5">
      <c r="A18" s="7">
        <f>'Registo de operações'!C24</f>
        <v>90</v>
      </c>
      <c r="B18" s="5" t="str">
        <f>IF('Registo de operações'!AJ24&gt;0,'Registo de operações'!AJ24,"")</f>
        <v/>
      </c>
      <c r="C18" s="5">
        <f>IF('Registo de operações'!AJ24&lt;0,'Registo de operações'!AJ24,"")</f>
        <v>-0.01</v>
      </c>
      <c r="D18" s="6" t="str">
        <f>IF('Registo de operações'!AG24&gt;0,'Registo de operações'!AG24,"")</f>
        <v/>
      </c>
      <c r="E18" s="8">
        <f>IF('Registo de operações'!AG24&lt;0,'Registo de operações'!AG24,"")</f>
        <v>-100.41003680201214</v>
      </c>
    </row>
    <row r="19" spans="1:5">
      <c r="A19" s="7">
        <f>'Registo de operações'!C25</f>
        <v>91</v>
      </c>
      <c r="B19" s="5">
        <f>IF('Registo de operações'!AJ25&gt;0,'Registo de operações'!AJ25,"")</f>
        <v>1.7729250696698388E-2</v>
      </c>
      <c r="C19" s="5" t="str">
        <f>IF('Registo de operações'!AJ25&lt;0,'Registo de operações'!AJ25,"")</f>
        <v/>
      </c>
      <c r="D19" s="6">
        <f>IF('Registo de operações'!AG25&gt;0,'Registo de operações'!AG25,"")</f>
        <v>176.04</v>
      </c>
      <c r="E19" s="8" t="str">
        <f>IF('Registo de operações'!AG25&lt;0,'Registo de operações'!AG25,"")</f>
        <v/>
      </c>
    </row>
    <row r="20" spans="1:5">
      <c r="A20" s="7">
        <f>'Registo de operações'!C26</f>
        <v>92</v>
      </c>
      <c r="B20" s="5" t="str">
        <f>IF('Registo de operações'!AJ26&gt;0,'Registo de operações'!AJ26,"")</f>
        <v/>
      </c>
      <c r="C20" s="5">
        <f>IF('Registo de operações'!AJ26&lt;0,'Registo de operações'!AJ26,"")</f>
        <v>-1.7869175304638459E-3</v>
      </c>
      <c r="D20" s="6" t="str">
        <f>IF('Registo de operações'!AG26&gt;0,'Registo de operações'!AG26,"")</f>
        <v/>
      </c>
      <c r="E20" s="8">
        <f>IF('Registo de operações'!AG26&lt;0,'Registo de operações'!AG26,"")</f>
        <v>-18.05</v>
      </c>
    </row>
    <row r="21" spans="1:5">
      <c r="A21" s="7">
        <f>'Registo de operações'!C27</f>
        <v>93</v>
      </c>
      <c r="B21" s="5" t="str">
        <f>IF('Registo de operações'!AJ27&gt;0,'Registo de operações'!AJ27,"")</f>
        <v/>
      </c>
      <c r="C21" s="5">
        <f>IF('Registo de operações'!AJ27&lt;0,'Registo de operações'!AJ27,"")</f>
        <v>-7.0816021397558807E-3</v>
      </c>
      <c r="D21" s="6" t="str">
        <f>IF('Registo de operações'!AG27&gt;0,'Registo de operações'!AG27,"")</f>
        <v/>
      </c>
      <c r="E21" s="8">
        <f>IF('Registo de operações'!AG27&lt;0,'Registo de operações'!AG27,"")</f>
        <v>-71.349999999999994</v>
      </c>
    </row>
    <row r="22" spans="1:5">
      <c r="A22" s="7">
        <f>'Registo de operações'!C28</f>
        <v>94</v>
      </c>
      <c r="B22" s="5" t="str">
        <f>IF('Registo de operações'!AJ28&gt;0,'Registo de operações'!AJ28,"")</f>
        <v/>
      </c>
      <c r="C22" s="5">
        <f>IF('Registo de operações'!AJ28&lt;0,'Registo de operações'!AJ28,"")</f>
        <v>-6.0427230664977499E-3</v>
      </c>
      <c r="D22" s="6" t="str">
        <f>IF('Registo de operações'!AG28&gt;0,'Registo de operações'!AG28,"")</f>
        <v/>
      </c>
      <c r="E22" s="8">
        <f>IF('Registo de operações'!AG28&lt;0,'Registo de operações'!AG28,"")</f>
        <v>-60.4</v>
      </c>
    </row>
    <row r="23" spans="1:5">
      <c r="A23" s="7">
        <f>'Registo de operações'!C29</f>
        <v>100</v>
      </c>
      <c r="B23" s="5">
        <f>IF('Registo de operações'!AJ29&gt;0,'Registo de operações'!AJ29,"")</f>
        <v>1.0000000000005551E-2</v>
      </c>
      <c r="C23" s="5" t="str">
        <f>IF('Registo de operações'!AJ29&lt;0,'Registo de operações'!AJ29,"")</f>
        <v/>
      </c>
      <c r="D23" s="6">
        <f>IF('Registo de operações'!AG29&gt;0,'Registo de operações'!AG29,"")</f>
        <v>99.294936434047145</v>
      </c>
      <c r="E23" s="8" t="str">
        <f>IF('Registo de operações'!AG29&lt;0,'Registo de operações'!AG29,"")</f>
        <v/>
      </c>
    </row>
    <row r="24" spans="1:5">
      <c r="A24" s="7">
        <f>'Registo de operações'!C30</f>
        <v>101</v>
      </c>
      <c r="B24" s="5">
        <f>IF('Registo de operações'!AJ30&gt;0,'Registo de operações'!AJ30,"")</f>
        <v>1.0200000000001333E-2</v>
      </c>
      <c r="C24" s="5" t="str">
        <f>IF('Registo de operações'!AJ30&lt;0,'Registo de operações'!AJ30,"")</f>
        <v/>
      </c>
      <c r="D24" s="6">
        <f>IF('Registo de operações'!AG30&gt;0,'Registo de operações'!AG30,"")</f>
        <v>102.22142751431251</v>
      </c>
      <c r="E24" s="8" t="str">
        <f>IF('Registo de operações'!AG30&lt;0,'Registo de operações'!AG30,"")</f>
        <v/>
      </c>
    </row>
    <row r="25" spans="1:5">
      <c r="A25" s="7">
        <f>'Registo de operações'!C31</f>
        <v>102</v>
      </c>
      <c r="B25" s="5" t="str">
        <f>IF('Registo de operações'!AJ31&gt;0,'Registo de operações'!AJ31,"")</f>
        <v/>
      </c>
      <c r="C25" s="5">
        <f>IF('Registo de operações'!AJ31&lt;0,'Registo de operações'!AJ31,"")</f>
        <v>-0.01</v>
      </c>
      <c r="D25" s="6" t="str">
        <f>IF('Registo de operações'!AG31&gt;0,'Registo de operações'!AG31,"")</f>
        <v/>
      </c>
      <c r="E25" s="8">
        <f>IF('Registo de operações'!AG31&lt;0,'Registo de operações'!AG31,"")</f>
        <v>-101.17390007347564</v>
      </c>
    </row>
    <row r="26" spans="1:5">
      <c r="A26" s="7">
        <f>'Registo de operações'!C32</f>
        <v>103</v>
      </c>
      <c r="B26" s="5" t="str">
        <f>IF('Registo de operações'!AJ32&gt;0,'Registo de operações'!AJ32,"")</f>
        <v/>
      </c>
      <c r="C26" s="5">
        <f>IF('Registo de operações'!AJ32&lt;0,'Registo de operações'!AJ32,"")</f>
        <v>-0.01</v>
      </c>
      <c r="D26" s="6" t="str">
        <f>IF('Registo de operações'!AG32&gt;0,'Registo de operações'!AG32,"")</f>
        <v/>
      </c>
      <c r="E26" s="8">
        <f>IF('Registo de operações'!AG32&lt;0,'Registo de operações'!AG32,"")</f>
        <v>-100.07396107274087</v>
      </c>
    </row>
    <row r="27" spans="1:5">
      <c r="A27" s="7">
        <f>'Registo de operações'!C33</f>
        <v>104</v>
      </c>
      <c r="B27" s="5" t="str">
        <f>IF('Registo de operações'!AJ33&gt;0,'Registo de operações'!AJ33,"")</f>
        <v/>
      </c>
      <c r="C27" s="5">
        <f>IF('Registo de operações'!AJ33&lt;0,'Registo de operações'!AJ33,"")</f>
        <v>-0.01</v>
      </c>
      <c r="D27" s="6" t="str">
        <f>IF('Registo de operações'!AG33&gt;0,'Registo de operações'!AG33,"")</f>
        <v/>
      </c>
      <c r="E27" s="8">
        <f>IF('Registo de operações'!AG33&lt;0,'Registo de operações'!AG33,"")</f>
        <v>-99.006421462013463</v>
      </c>
    </row>
    <row r="28" spans="1:5">
      <c r="A28" s="7">
        <f>'Registo de operações'!C34</f>
        <v>105</v>
      </c>
      <c r="B28" s="5" t="str">
        <f>IF('Registo de operações'!AJ34&gt;0,'Registo de operações'!AJ34,"")</f>
        <v/>
      </c>
      <c r="C28" s="5">
        <f>IF('Registo de operações'!AJ34&lt;0,'Registo de operações'!AJ34,"")</f>
        <v>-0.01</v>
      </c>
      <c r="D28" s="6" t="str">
        <f>IF('Registo de operações'!AG34&gt;0,'Registo de operações'!AG34,"")</f>
        <v/>
      </c>
      <c r="E28" s="8">
        <f>IF('Registo de operações'!AG34&lt;0,'Registo de operações'!AG34,"")</f>
        <v>-97.946757247393322</v>
      </c>
    </row>
    <row r="29" spans="1:5">
      <c r="A29" s="7">
        <f>'Registo de operações'!C35</f>
        <v>106</v>
      </c>
      <c r="B29" s="5" t="str">
        <f>IF('Registo de operações'!AJ35&gt;0,'Registo de operações'!AJ35,"")</f>
        <v/>
      </c>
      <c r="C29" s="5">
        <f>IF('Registo de operações'!AJ35&lt;0,'Registo de operações'!AJ35,"")</f>
        <v>-0.01</v>
      </c>
      <c r="D29" s="6" t="str">
        <f>IF('Registo de operações'!AG35&gt;0,'Registo de operações'!AG35,"")</f>
        <v/>
      </c>
      <c r="E29" s="8">
        <f>IF('Registo de operações'!AG35&lt;0,'Registo de operações'!AG35,"")</f>
        <v>-96.893289674919401</v>
      </c>
    </row>
    <row r="30" spans="1:5">
      <c r="A30" s="7">
        <f>'Registo de operações'!C36</f>
        <v>107</v>
      </c>
      <c r="B30" s="5">
        <f>IF('Registo de operações'!AJ36&gt;0,'Registo de operações'!AJ36,"")</f>
        <v>1.6756756756753349E-2</v>
      </c>
      <c r="C30" s="5" t="str">
        <f>IF('Registo de operações'!AJ36&lt;0,'Registo de operações'!AJ36,"")</f>
        <v/>
      </c>
      <c r="D30" s="6">
        <f>IF('Registo de operações'!AG36&gt;0,'Registo de operações'!AG36,"")</f>
        <v>160.64410595257687</v>
      </c>
      <c r="E30" s="8" t="str">
        <f>IF('Registo de operações'!AG36&lt;0,'Registo de operações'!AG36,"")</f>
        <v/>
      </c>
    </row>
    <row r="31" spans="1:5">
      <c r="A31" s="7">
        <f>'Registo de operações'!C37</f>
        <v>108</v>
      </c>
      <c r="B31" s="5">
        <f>IF('Registo de operações'!AJ37&gt;0,'Registo de operações'!AJ37,"")</f>
        <v>5.8526128594749531E-3</v>
      </c>
      <c r="C31" s="5" t="str">
        <f>IF('Registo de operações'!AJ37&lt;0,'Registo de operações'!AJ37,"")</f>
        <v/>
      </c>
      <c r="D31" s="6">
        <f>IF('Registo de operações'!AG37&gt;0,'Registo de operações'!AG37,"")</f>
        <v>57</v>
      </c>
      <c r="E31" s="8" t="str">
        <f>IF('Registo de operações'!AG37&lt;0,'Registo de operações'!AG37,"")</f>
        <v/>
      </c>
    </row>
    <row r="32" spans="1:5">
      <c r="A32" s="7">
        <f>'Registo de operações'!C38</f>
        <v>109</v>
      </c>
      <c r="B32" s="5">
        <f>IF('Registo de operações'!AJ38&gt;0,'Registo de operações'!AJ38,"")</f>
        <v>0.01</v>
      </c>
      <c r="C32" s="5" t="str">
        <f>IF('Registo de operações'!AJ38&lt;0,'Registo de operações'!AJ38,"")</f>
        <v/>
      </c>
      <c r="D32" s="6">
        <f>IF('Registo de operações'!AG38&gt;0,'Registo de operações'!AG38,"")</f>
        <v>97.881397837695971</v>
      </c>
      <c r="E32" s="8" t="str">
        <f>IF('Registo de operações'!AG38&lt;0,'Registo de operações'!AG38,"")</f>
        <v/>
      </c>
    </row>
    <row r="33" spans="1:5">
      <c r="A33" s="7">
        <f>'Registo de operações'!C39</f>
        <v>110</v>
      </c>
      <c r="B33" s="5" t="str">
        <f>IF('Registo de operações'!AJ39&gt;0,'Registo de operações'!AJ39,"")</f>
        <v/>
      </c>
      <c r="C33" s="5">
        <f>IF('Registo de operações'!AJ39&lt;0,'Registo de operações'!AJ39,"")</f>
        <v>-6.2084124063062802E-3</v>
      </c>
      <c r="D33" s="6" t="str">
        <f>IF('Registo de operações'!AG39&gt;0,'Registo de operações'!AG39,"")</f>
        <v/>
      </c>
      <c r="E33" s="8">
        <f>IF('Registo de operações'!AG39&lt;0,'Registo de operações'!AG39,"")</f>
        <v>-61.32</v>
      </c>
    </row>
    <row r="34" spans="1:5">
      <c r="A34" s="7">
        <f>'Registo de operações'!C40</f>
        <v>111</v>
      </c>
      <c r="B34" s="5" t="str">
        <f>IF('Registo de operações'!AJ40&gt;0,'Registo de operações'!AJ40,"")</f>
        <v/>
      </c>
      <c r="C34" s="5">
        <f>IF('Registo de operações'!AJ40&lt;0,'Registo de operações'!AJ40,"")</f>
        <v>-0.01</v>
      </c>
      <c r="D34" s="6" t="str">
        <f>IF('Registo de operações'!AG40&gt;0,'Registo de operações'!AG40,"")</f>
        <v/>
      </c>
      <c r="E34" s="8">
        <f>IF('Registo de operações'!AG40&lt;0,'Registo de operações'!AG40,"")</f>
        <v>-98.085211816072942</v>
      </c>
    </row>
    <row r="35" spans="1:5">
      <c r="A35" s="7">
        <f>'Registo de operações'!C41</f>
        <v>112</v>
      </c>
      <c r="B35" s="5" t="str">
        <f>IF('Registo de operações'!AJ41&gt;0,'Registo de operações'!AJ41,"")</f>
        <v/>
      </c>
      <c r="C35" s="5" t="str">
        <f>IF('Registo de operações'!AJ41&lt;0,'Registo de operações'!AJ41,"")</f>
        <v/>
      </c>
      <c r="D35" s="6" t="str">
        <f>IF('Registo de operações'!AG41&gt;0,'Registo de operações'!AG41,"")</f>
        <v/>
      </c>
      <c r="E35" s="8" t="str">
        <f>IF('Registo de operações'!AG41&lt;0,'Registo de operações'!AG41,"")</f>
        <v/>
      </c>
    </row>
    <row r="36" spans="1:5">
      <c r="A36" s="7">
        <f>'Registo de operações'!C42</f>
        <v>113</v>
      </c>
      <c r="B36" s="5" t="str">
        <f>IF('Registo de operações'!AJ42&gt;0,'Registo de operações'!AJ42,"")</f>
        <v/>
      </c>
      <c r="C36" s="5">
        <f>IF('Registo de operações'!AJ42&lt;0,'Registo de operações'!AJ42,"")</f>
        <v>-0.01</v>
      </c>
      <c r="D36" s="6" t="str">
        <f>IF('Registo de operações'!AG42&gt;0,'Registo de operações'!AG42,"")</f>
        <v/>
      </c>
      <c r="E36" s="8">
        <f>IF('Registo de operações'!AG42&lt;0,'Registo de operações'!AG42,"")</f>
        <v>-96.937159697912207</v>
      </c>
    </row>
    <row r="37" spans="1:5">
      <c r="A37" s="7">
        <f>'Registo de operações'!C43</f>
        <v>114</v>
      </c>
      <c r="B37" s="5" t="str">
        <f>IF('Registo de operações'!AJ43&gt;0,'Registo de operações'!AJ43,"")</f>
        <v/>
      </c>
      <c r="C37" s="5">
        <f>IF('Registo de operações'!AJ43&lt;0,'Registo de operações'!AJ43,"")</f>
        <v>-0.01</v>
      </c>
      <c r="D37" s="6" t="str">
        <f>IF('Registo de operações'!AG43&gt;0,'Registo de operações'!AG43,"")</f>
        <v/>
      </c>
      <c r="E37" s="8">
        <f>IF('Registo de operações'!AG43&lt;0,'Registo de operações'!AG43,"")</f>
        <v>-95.877688100933085</v>
      </c>
    </row>
    <row r="38" spans="1:5">
      <c r="A38" s="7">
        <f>'Registo de operações'!C44</f>
        <v>115</v>
      </c>
      <c r="B38" s="5">
        <f>IF('Registo de operações'!AJ44&gt;0,'Registo de operações'!AJ44,"")</f>
        <v>2.0000000000003897E-2</v>
      </c>
      <c r="C38" s="5" t="str">
        <f>IF('Registo de operações'!AJ44&lt;0,'Registo de operações'!AJ44,"")</f>
        <v/>
      </c>
      <c r="D38" s="6">
        <f>IF('Registo de operações'!AG44&gt;0,'Registo de operações'!AG44,"")</f>
        <v>189.66542243988445</v>
      </c>
      <c r="E38" s="8" t="str">
        <f>IF('Registo de operações'!AG44&lt;0,'Registo de operações'!AG44,"")</f>
        <v/>
      </c>
    </row>
    <row r="39" spans="1:5">
      <c r="A39" s="7">
        <f>'Registo de operações'!C45</f>
        <v>116</v>
      </c>
      <c r="B39" s="5" t="str">
        <f>IF('Registo de operações'!AJ45&gt;0,'Registo de operações'!AJ45,"")</f>
        <v/>
      </c>
      <c r="C39" s="5">
        <f>IF('Registo de operações'!AJ45&lt;0,'Registo de operações'!AJ45,"")</f>
        <v>-0.01</v>
      </c>
      <c r="D39" s="6" t="str">
        <f>IF('Registo de operações'!AG45&gt;0,'Registo de operações'!AG45,"")</f>
        <v/>
      </c>
      <c r="E39" s="8">
        <f>IF('Registo de operações'!AG45&lt;0,'Registo de operações'!AG45,"")</f>
        <v>-96.678365444322594</v>
      </c>
    </row>
    <row r="40" spans="1:5">
      <c r="A40" s="7">
        <f>'Registo de operações'!C46</f>
        <v>117</v>
      </c>
      <c r="B40" s="5">
        <f>IF('Registo de operações'!AJ46&gt;0,'Registo de operações'!AJ46,"")</f>
        <v>2.0000000000006939E-2</v>
      </c>
      <c r="C40" s="5" t="str">
        <f>IF('Registo de operações'!AJ46&lt;0,'Registo de operações'!AJ46,"")</f>
        <v/>
      </c>
      <c r="D40" s="6">
        <f>IF('Registo de operações'!AG46&gt;0,'Registo de operações'!AG46,"")</f>
        <v>191.30516357982512</v>
      </c>
      <c r="E40" s="8" t="str">
        <f>IF('Registo de operações'!AG46&lt;0,'Registo de operações'!AG46,"")</f>
        <v/>
      </c>
    </row>
    <row r="41" spans="1:5">
      <c r="A41" s="7">
        <f>'Registo de operações'!C47</f>
        <v>118</v>
      </c>
      <c r="B41" s="5" t="str">
        <f>IF('Registo de operações'!AJ47&gt;0,'Registo de operações'!AJ47,"")</f>
        <v/>
      </c>
      <c r="C41" s="5">
        <f>IF('Registo de operações'!AJ47&lt;0,'Registo de operações'!AJ47,"")</f>
        <v>-0.01</v>
      </c>
      <c r="D41" s="6" t="str">
        <f>IF('Registo de operações'!AG47&gt;0,'Registo de operações'!AG47,"")</f>
        <v/>
      </c>
      <c r="E41" s="8">
        <f>IF('Registo de operações'!AG47&lt;0,'Registo de operações'!AG47,"")</f>
        <v>-97.43643342567762</v>
      </c>
    </row>
    <row r="42" spans="1:5">
      <c r="A42" s="7">
        <f>'Registo de operações'!C48</f>
        <v>119</v>
      </c>
      <c r="B42" s="5">
        <f>IF('Registo de operações'!AJ48&gt;0,'Registo de operações'!AJ48,"")</f>
        <v>5.1898946598312652E-4</v>
      </c>
      <c r="C42" s="5" t="str">
        <f>IF('Registo de operações'!AJ48&lt;0,'Registo de operações'!AJ48,"")</f>
        <v/>
      </c>
      <c r="D42" s="6">
        <f>IF('Registo de operações'!AG48&gt;0,'Registo de operações'!AG48,"")</f>
        <v>5</v>
      </c>
      <c r="E42" s="8" t="str">
        <f>IF('Registo de operações'!AG48&lt;0,'Registo de operações'!AG48,"")</f>
        <v/>
      </c>
    </row>
    <row r="43" spans="1:5">
      <c r="A43" s="7">
        <f>'Registo de operações'!C49</f>
        <v>120</v>
      </c>
      <c r="B43" s="5">
        <f>IF('Registo de operações'!AJ49&gt;0,'Registo de operações'!AJ49,"")</f>
        <v>1.5161290322578102E-2</v>
      </c>
      <c r="C43" s="5" t="str">
        <f>IF('Registo de operações'!AJ49&lt;0,'Registo de operações'!AJ49,"")</f>
        <v/>
      </c>
      <c r="D43" s="6">
        <f>IF('Registo de operações'!AG49&gt;0,'Registo de operações'!AG49,"")</f>
        <v>146.04305313858131</v>
      </c>
      <c r="E43" s="8" t="str">
        <f>IF('Registo de operações'!AG49&lt;0,'Registo de operações'!AG49,"")</f>
        <v/>
      </c>
    </row>
    <row r="44" spans="1:5">
      <c r="A44" s="7">
        <f>'Registo de operações'!C50</f>
        <v>121</v>
      </c>
      <c r="B44" s="5" t="str">
        <f>IF('Registo de operações'!AJ50&gt;0,'Registo de operações'!AJ50,"")</f>
        <v/>
      </c>
      <c r="C44" s="5">
        <f>IF('Registo de operações'!AJ50&lt;0,'Registo de operações'!AJ50,"")</f>
        <v>-0.01</v>
      </c>
      <c r="D44" s="6" t="str">
        <f>IF('Registo de operações'!AG50&gt;0,'Registo de operações'!AG50,"")</f>
        <v/>
      </c>
      <c r="E44" s="8">
        <f>IF('Registo de operações'!AG50&lt;0,'Registo de operações'!AG50,"")</f>
        <v>-97.66469962280668</v>
      </c>
    </row>
    <row r="45" spans="1:5">
      <c r="A45" s="7">
        <f>'Registo de operações'!C51</f>
        <v>122</v>
      </c>
      <c r="B45" s="5">
        <f>IF('Registo de operações'!AJ51&gt;0,'Registo de operações'!AJ51,"")</f>
        <v>1.6216216216221244E-2</v>
      </c>
      <c r="C45" s="5" t="str">
        <f>IF('Registo de operações'!AJ51&lt;0,'Registo de operações'!AJ51,"")</f>
        <v/>
      </c>
      <c r="D45" s="6">
        <f>IF('Registo de operações'!AG51&gt;0,'Registo de operações'!AG51,"")</f>
        <v>156.51900425936518</v>
      </c>
      <c r="E45" s="8" t="str">
        <f>IF('Registo de operações'!AG51&lt;0,'Registo de operações'!AG51,"")</f>
        <v/>
      </c>
    </row>
    <row r="46" spans="1:5">
      <c r="A46" s="7">
        <f>'Registo de operações'!C52</f>
        <v>123</v>
      </c>
      <c r="B46" s="5">
        <f>IF('Registo de operações'!AJ52&gt;0,'Registo de operações'!AJ52,"")</f>
        <v>1.0957446808510289E-2</v>
      </c>
      <c r="C46" s="5" t="str">
        <f>IF('Registo de operações'!AJ52&lt;0,'Registo de operações'!AJ52,"")</f>
        <v/>
      </c>
      <c r="D46" s="6">
        <f>IF('Registo de operações'!AG52&gt;0,'Registo de operações'!AG52,"")</f>
        <v>107.34642760557895</v>
      </c>
      <c r="E46" s="8" t="str">
        <f>IF('Registo de operações'!AG52&lt;0,'Registo de operações'!AG52,"")</f>
        <v/>
      </c>
    </row>
    <row r="47" spans="1:5">
      <c r="A47" s="7">
        <f>'Registo de operações'!C53</f>
        <v>124</v>
      </c>
      <c r="B47" s="5" t="str">
        <f>IF('Registo de operações'!AJ53&gt;0,'Registo de operações'!AJ53,"")</f>
        <v/>
      </c>
      <c r="C47" s="5">
        <f>IF('Registo de operações'!AJ53&lt;0,'Registo de operações'!AJ53,"")</f>
        <v>-0.01</v>
      </c>
      <c r="D47" s="6" t="str">
        <f>IF('Registo de operações'!AG53&gt;0,'Registo de operações'!AG53,"")</f>
        <v/>
      </c>
      <c r="E47" s="8">
        <f>IF('Registo de operações'!AG53&lt;0,'Registo de operações'!AG53,"")</f>
        <v>-99.040106945228032</v>
      </c>
    </row>
    <row r="48" spans="1:5">
      <c r="A48" s="7">
        <f>'Registo de operações'!C54</f>
        <v>125</v>
      </c>
      <c r="B48" s="5" t="str">
        <f>IF('Registo de operações'!AJ54&gt;0,'Registo de operações'!AJ54,"")</f>
        <v/>
      </c>
      <c r="C48" s="5">
        <f>IF('Registo de operações'!AJ54&lt;0,'Registo de operações'!AJ54,"")</f>
        <v>-5.2052657841021527E-3</v>
      </c>
      <c r="D48" s="6" t="str">
        <f>IF('Registo de operações'!AG54&gt;0,'Registo de operações'!AG54,"")</f>
        <v/>
      </c>
      <c r="E48" s="8">
        <f>IF('Registo de operações'!AG54&lt;0,'Registo de operações'!AG54,"")</f>
        <v>-51</v>
      </c>
    </row>
    <row r="49" spans="1:5">
      <c r="A49" s="7">
        <f>'Registo de operações'!C55</f>
        <v>126</v>
      </c>
      <c r="B49" s="5" t="str">
        <f>IF('Registo de operações'!AJ55&gt;0,'Registo de operações'!AJ55,"")</f>
        <v/>
      </c>
      <c r="C49" s="5">
        <f>IF('Registo de operações'!AJ55&lt;0,'Registo de operações'!AJ55,"")</f>
        <v>-0.01</v>
      </c>
      <c r="D49" s="6" t="str">
        <f>IF('Registo de operações'!AG55&gt;0,'Registo de operações'!AG55,"")</f>
        <v/>
      </c>
      <c r="E49" s="8">
        <f>IF('Registo de operações'!AG55&lt;0,'Registo de operações'!AG55,"")</f>
        <v>-97.424705875775771</v>
      </c>
    </row>
    <row r="50" spans="1:5">
      <c r="A50" s="7">
        <f>'Registo de operações'!C56</f>
        <v>127</v>
      </c>
      <c r="B50" s="5" t="str">
        <f>IF('Registo de operações'!AJ56&gt;0,'Registo de operações'!AJ56,"")</f>
        <v/>
      </c>
      <c r="C50" s="5">
        <f>IF('Registo de operações'!AJ56&lt;0,'Registo de operações'!AJ56,"")</f>
        <v>-0.01</v>
      </c>
      <c r="D50" s="6" t="str">
        <f>IF('Registo de operações'!AG56&gt;0,'Registo de operações'!AG56,"")</f>
        <v/>
      </c>
      <c r="E50" s="8">
        <f>IF('Registo de operações'!AG56&lt;0,'Registo de operações'!AG56,"")</f>
        <v>-96.147858817018005</v>
      </c>
    </row>
    <row r="51" spans="1:5">
      <c r="A51" s="7">
        <f>'Registo de operações'!C57</f>
        <v>128</v>
      </c>
      <c r="B51" s="5" t="str">
        <f>IF('Registo de operações'!AJ57&gt;0,'Registo de operações'!AJ57,"")</f>
        <v/>
      </c>
      <c r="C51" s="5">
        <f>IF('Registo de operações'!AJ57&lt;0,'Registo de operações'!AJ57,"")</f>
        <v>-0.01</v>
      </c>
      <c r="D51" s="6" t="str">
        <f>IF('Registo de operações'!AG57&gt;0,'Registo de operações'!AG57,"")</f>
        <v/>
      </c>
      <c r="E51" s="8">
        <f>IF('Registo de operações'!AG57&lt;0,'Registo de operações'!AG57,"")</f>
        <v>-95.186380228847824</v>
      </c>
    </row>
    <row r="52" spans="1:5">
      <c r="A52" s="7">
        <f>'Registo de operações'!C58</f>
        <v>129</v>
      </c>
      <c r="B52" s="5" t="str">
        <f>IF('Registo de operações'!AJ58&gt;0,'Registo de operações'!AJ58,"")</f>
        <v/>
      </c>
      <c r="C52" s="5">
        <f>IF('Registo de operações'!AJ58&lt;0,'Registo de operações'!AJ58,"")</f>
        <v>-0.01</v>
      </c>
      <c r="D52" s="6" t="str">
        <f>IF('Registo de operações'!AG58&gt;0,'Registo de operações'!AG58,"")</f>
        <v/>
      </c>
      <c r="E52" s="8">
        <f>IF('Registo de operações'!AG58&lt;0,'Registo de operações'!AG58,"")</f>
        <v>-94.234116426559353</v>
      </c>
    </row>
    <row r="53" spans="1:5">
      <c r="A53" s="7">
        <f>'Registo de operações'!C59</f>
        <v>130</v>
      </c>
      <c r="B53" s="5">
        <f>IF('Registo de operações'!AJ59&gt;0,'Registo de operações'!AJ59,"")</f>
        <v>2.4146341463411602E-2</v>
      </c>
      <c r="C53" s="5" t="str">
        <f>IF('Registo de operações'!AJ59&lt;0,'Registo de operações'!AJ59,"")</f>
        <v/>
      </c>
      <c r="D53" s="6">
        <f>IF('Registo de operações'!AG59&gt;0,'Registo de operações'!AG59,"")</f>
        <v>225.10565734063232</v>
      </c>
      <c r="E53" s="8" t="str">
        <f>IF('Registo de operações'!AG59&lt;0,'Registo de operações'!AG59,"")</f>
        <v/>
      </c>
    </row>
    <row r="54" spans="1:5">
      <c r="A54" s="7">
        <f>'Registo de operações'!C60</f>
        <v>131</v>
      </c>
      <c r="B54" s="5">
        <f>IF('Registo de operações'!AJ60&gt;0,'Registo de operações'!AJ60,"")</f>
        <v>1.3615897157296987E-3</v>
      </c>
      <c r="C54" s="5" t="str">
        <f>IF('Registo de operações'!AJ60&lt;0,'Registo de operações'!AJ60,"")</f>
        <v/>
      </c>
      <c r="D54" s="6">
        <f>IF('Registo de operações'!AG60&gt;0,'Registo de operações'!AG60,"")</f>
        <v>13</v>
      </c>
      <c r="E54" s="8" t="str">
        <f>IF('Registo de operações'!AG60&lt;0,'Registo de operações'!AG60,"")</f>
        <v/>
      </c>
    </row>
    <row r="55" spans="1:5">
      <c r="A55" s="7">
        <f>'Registo de operações'!C61</f>
        <v>132</v>
      </c>
      <c r="B55" s="5">
        <f>IF('Registo de operações'!AJ61&gt;0,'Registo de operações'!AJ61,"")</f>
        <v>1.6122448979589896E-2</v>
      </c>
      <c r="C55" s="5" t="str">
        <f>IF('Registo de operações'!AJ61&lt;0,'Registo de operações'!AJ61,"")</f>
        <v/>
      </c>
      <c r="D55" s="6">
        <f>IF('Registo de operações'!AG61&gt;0,'Registo de operações'!AG61,"")</f>
        <v>154.10132071468161</v>
      </c>
      <c r="E55" s="8" t="str">
        <f>IF('Registo de operações'!AG61&lt;0,'Registo de operações'!AG61,"")</f>
        <v/>
      </c>
    </row>
    <row r="56" spans="1:5">
      <c r="A56" s="7">
        <f>'Registo de operações'!C62</f>
        <v>133</v>
      </c>
      <c r="B56" s="5" t="str">
        <f>IF('Registo de operações'!AJ62&gt;0,'Registo de operações'!AJ62,"")</f>
        <v/>
      </c>
      <c r="C56" s="5">
        <f>IF('Registo de operações'!AJ62&lt;0,'Registo de operações'!AJ62,"")</f>
        <v>-0.01</v>
      </c>
      <c r="D56" s="6" t="str">
        <f>IF('Registo de operações'!AG62&gt;0,'Registo de operações'!AG62,"")</f>
        <v/>
      </c>
      <c r="E56" s="8">
        <f>IF('Registo de operações'!AG62&lt;0,'Registo de operações'!AG62,"")</f>
        <v>-97.090045042846924</v>
      </c>
    </row>
    <row r="57" spans="1:5">
      <c r="A57" s="7">
        <f>'Registo de operações'!C63</f>
        <v>134</v>
      </c>
      <c r="B57" s="5">
        <f>IF('Registo de operações'!AJ63&gt;0,'Registo de operações'!AJ63,"")</f>
        <v>1.1372549019608099E-2</v>
      </c>
      <c r="C57" s="5" t="str">
        <f>IF('Registo de operações'!AJ63&lt;0,'Registo de operações'!AJ63,"")</f>
        <v/>
      </c>
      <c r="D57" s="6">
        <f>IF('Registo de operações'!AG63&gt;0,'Registo de operações'!AG63,"")</f>
        <v>109.31196836000777</v>
      </c>
      <c r="E57" s="8" t="str">
        <f>IF('Registo de operações'!AG63&lt;0,'Registo de operações'!AG63,"")</f>
        <v/>
      </c>
    </row>
    <row r="58" spans="1:5">
      <c r="A58" s="7">
        <f>'Registo de operações'!C64</f>
        <v>135</v>
      </c>
      <c r="B58" s="5">
        <f>IF('Registo de operações'!AJ64&gt;0,'Registo de operações'!AJ64,"")</f>
        <v>0.02</v>
      </c>
      <c r="C58" s="5" t="str">
        <f>IF('Registo de operações'!AJ64&lt;0,'Registo de operações'!AJ64,"")</f>
        <v/>
      </c>
      <c r="D58" s="6">
        <f>IF('Registo de operações'!AG64&gt;0,'Registo de operações'!AG64,"")</f>
        <v>194.34212855203708</v>
      </c>
      <c r="E58" s="8" t="str">
        <f>IF('Registo de operações'!AG64&lt;0,'Registo de operações'!AG64,"")</f>
        <v/>
      </c>
    </row>
    <row r="59" spans="1:5">
      <c r="A59" s="7">
        <f>'Registo de operações'!C65</f>
        <v>136</v>
      </c>
      <c r="B59" s="5">
        <f>IF('Registo de operações'!AJ65&gt;0,'Registo de operações'!AJ65,"")</f>
        <v>2.6242087041915196E-3</v>
      </c>
      <c r="C59" s="5" t="str">
        <f>IF('Registo de operações'!AJ65&lt;0,'Registo de operações'!AJ65,"")</f>
        <v/>
      </c>
      <c r="D59" s="6">
        <f>IF('Registo de operações'!AG65&gt;0,'Registo de operações'!AG65,"")</f>
        <v>26</v>
      </c>
      <c r="E59" s="8" t="str">
        <f>IF('Registo de operações'!AG65&lt;0,'Registo de operações'!AG65,"")</f>
        <v/>
      </c>
    </row>
    <row r="60" spans="1:5">
      <c r="A60" s="7">
        <f>'Registo de operações'!C66</f>
        <v>137</v>
      </c>
      <c r="B60" s="5">
        <f>IF('Registo de operações'!AJ66&gt;0,'Registo de operações'!AJ66,"")</f>
        <v>1.7593220338983542E-2</v>
      </c>
      <c r="C60" s="5" t="str">
        <f>IF('Registo de operações'!AJ66&lt;0,'Registo de operações'!AJ66,"")</f>
        <v/>
      </c>
      <c r="D60" s="6">
        <f>IF('Registo de operações'!AG66&gt;0,'Registo de operações'!AG66,"")</f>
        <v>174.73531120827164</v>
      </c>
      <c r="E60" s="8" t="str">
        <f>IF('Registo de operações'!AG66&lt;0,'Registo de operações'!AG66,"")</f>
        <v/>
      </c>
    </row>
    <row r="61" spans="1:5">
      <c r="A61" s="7">
        <f>'Registo de operações'!C67</f>
        <v>138</v>
      </c>
      <c r="B61" s="5">
        <f>IF('Registo de operações'!AJ67&gt;0,'Registo de operações'!AJ67,"")</f>
        <v>4.9472113417180739E-3</v>
      </c>
      <c r="C61" s="5" t="str">
        <f>IF('Registo de operações'!AJ67&lt;0,'Registo de operações'!AJ67,"")</f>
        <v/>
      </c>
      <c r="D61" s="6">
        <f>IF('Registo de operações'!AG67&gt;0,'Registo de operações'!AG67,"")</f>
        <v>50</v>
      </c>
      <c r="E61" s="8" t="str">
        <f>IF('Registo de operações'!AG67&lt;0,'Registo de operações'!AG67,"")</f>
        <v/>
      </c>
    </row>
    <row r="62" spans="1:5">
      <c r="A62" s="7">
        <f>'Registo de operações'!C68</f>
        <v>139</v>
      </c>
      <c r="B62" s="5">
        <f>IF('Registo de operações'!AJ68&gt;0,'Registo de operações'!AJ68,"")</f>
        <v>1.4772177761624102E-2</v>
      </c>
      <c r="C62" s="5" t="str">
        <f>IF('Registo de operações'!AJ68&lt;0,'Registo de operações'!AJ68,"")</f>
        <v/>
      </c>
      <c r="D62" s="6">
        <f>IF('Registo de operações'!AG68&gt;0,'Registo de operações'!AG68,"")</f>
        <v>150</v>
      </c>
      <c r="E62" s="8" t="str">
        <f>IF('Registo de operações'!AG68&lt;0,'Registo de operações'!AG68,"")</f>
        <v/>
      </c>
    </row>
    <row r="63" spans="1:5">
      <c r="A63" s="7">
        <f>'Registo de operações'!C69</f>
        <v>140</v>
      </c>
      <c r="B63" s="5" t="str">
        <f>IF('Registo de operações'!AJ69&gt;0,'Registo de operações'!AJ69,"")</f>
        <v/>
      </c>
      <c r="C63" s="5">
        <f>IF('Registo de operações'!AJ69&lt;0,'Registo de operações'!AJ69,"")</f>
        <v>-0.01</v>
      </c>
      <c r="D63" s="6" t="str">
        <f>IF('Registo de operações'!AG69&gt;0,'Registo de operações'!AG69,"")</f>
        <v/>
      </c>
      <c r="E63" s="8">
        <f>IF('Registo de operações'!AG69&lt;0,'Registo de operações'!AG69,"")</f>
        <v>-103.00183867362161</v>
      </c>
    </row>
    <row r="64" spans="1:5">
      <c r="A64" s="7">
        <f>'Registo de operações'!C70</f>
        <v>141</v>
      </c>
      <c r="B64" s="5" t="str">
        <f>IF('Registo de operações'!AJ70&gt;0,'Registo de operações'!AJ70,"")</f>
        <v/>
      </c>
      <c r="C64" s="5">
        <f>IF('Registo de operações'!AJ70&lt;0,'Registo de operações'!AJ70,"")</f>
        <v>-0.01</v>
      </c>
      <c r="D64" s="6" t="str">
        <f>IF('Registo de operações'!AG70&gt;0,'Registo de operações'!AG70,"")</f>
        <v/>
      </c>
      <c r="E64" s="8">
        <f>IF('Registo de operações'!AG70&lt;0,'Registo de operações'!AG70,"")</f>
        <v>-101.92042028688539</v>
      </c>
    </row>
    <row r="65" spans="1:5">
      <c r="A65" s="7">
        <f>'Registo de operações'!C71</f>
        <v>142</v>
      </c>
      <c r="B65" s="5" t="str">
        <f>IF('Registo de operações'!AJ71&gt;0,'Registo de operações'!AJ71,"")</f>
        <v/>
      </c>
      <c r="C65" s="5">
        <f>IF('Registo de operações'!AJ71&lt;0,'Registo de operações'!AJ71,"")</f>
        <v>-0.01</v>
      </c>
      <c r="D65" s="6" t="str">
        <f>IF('Registo de operações'!AG71&gt;0,'Registo de operações'!AG71,"")</f>
        <v/>
      </c>
      <c r="E65" s="8">
        <f>IF('Registo de operações'!AG71&lt;0,'Registo de operações'!AG71,"")</f>
        <v>-100.84701608401653</v>
      </c>
    </row>
    <row r="66" spans="1:5">
      <c r="A66" s="7">
        <f>'Registo de operações'!C72</f>
        <v>143</v>
      </c>
      <c r="B66" s="5" t="str">
        <f>IF('Registo de operações'!AJ72&gt;0,'Registo de operações'!AJ72,"")</f>
        <v/>
      </c>
      <c r="C66" s="5">
        <f>IF('Registo de operações'!AJ72&lt;0,'Registo de operações'!AJ72,"")</f>
        <v>-0.01</v>
      </c>
      <c r="D66" s="6" t="str">
        <f>IF('Registo de operações'!AG72&gt;0,'Registo de operações'!AG72,"")</f>
        <v/>
      </c>
      <c r="E66" s="8">
        <f>IF('Registo de operações'!AG72&lt;0,'Registo de operações'!AG72,"")</f>
        <v>-99.767545923176357</v>
      </c>
    </row>
    <row r="67" spans="1:5">
      <c r="A67" s="7">
        <f>'Registo de operações'!C73</f>
        <v>144</v>
      </c>
      <c r="B67" s="5" t="str">
        <f>IF('Registo de operações'!AJ73&gt;0,'Registo de operações'!AJ73,"")</f>
        <v/>
      </c>
      <c r="C67" s="5">
        <f>IF('Registo de operações'!AJ73&lt;0,'Registo de operações'!AJ73,"")</f>
        <v>-0.01</v>
      </c>
      <c r="D67" s="6" t="str">
        <f>IF('Registo de operações'!AG73&gt;0,'Registo de operações'!AG73,"")</f>
        <v/>
      </c>
      <c r="E67" s="8">
        <f>IF('Registo de operações'!AG73&lt;0,'Registo de operações'!AG73,"")</f>
        <v>-98.696270463944586</v>
      </c>
    </row>
    <row r="68" spans="1:5">
      <c r="A68" s="7">
        <f>'Registo de operações'!C74</f>
        <v>145</v>
      </c>
      <c r="B68" s="5" t="str">
        <f>IF('Registo de operações'!AJ74&gt;0,'Registo de operações'!AJ74,"")</f>
        <v/>
      </c>
      <c r="C68" s="5">
        <f>IF('Registo de operações'!AJ74&lt;0,'Registo de operações'!AJ74,"")</f>
        <v>-0.01</v>
      </c>
      <c r="D68" s="6" t="str">
        <f>IF('Registo de operações'!AG74&gt;0,'Registo de operações'!AG74,"")</f>
        <v/>
      </c>
      <c r="E68" s="8">
        <f>IF('Registo de operações'!AG74&lt;0,'Registo de operações'!AG74,"")</f>
        <v>-97.672507759305134</v>
      </c>
    </row>
    <row r="69" spans="1:5">
      <c r="A69" s="7">
        <f>'Registo de operações'!C75</f>
        <v>146</v>
      </c>
      <c r="B69" s="5" t="str">
        <f>IF('Registo de operações'!AJ75&gt;0,'Registo de operações'!AJ75,"")</f>
        <v/>
      </c>
      <c r="C69" s="5">
        <f>IF('Registo de operações'!AJ75&lt;0,'Registo de operações'!AJ75,"")</f>
        <v>-0.01</v>
      </c>
      <c r="D69" s="6" t="str">
        <f>IF('Registo de operações'!AG75&gt;0,'Registo de operações'!AG75,"")</f>
        <v/>
      </c>
      <c r="E69" s="8">
        <f>IF('Registo de operações'!AG75&lt;0,'Registo de operações'!AG75,"")</f>
        <v>-96.617982681712093</v>
      </c>
    </row>
    <row r="70" spans="1:5">
      <c r="A70" s="7">
        <f>'Registo de operações'!C76</f>
        <v>147</v>
      </c>
      <c r="B70" s="5">
        <f>IF('Registo de operações'!AJ76&gt;0,'Registo de operações'!AJ76,"")</f>
        <v>0.02</v>
      </c>
      <c r="C70" s="5" t="str">
        <f>IF('Registo de operações'!AJ76&lt;0,'Registo de operações'!AJ76,"")</f>
        <v/>
      </c>
      <c r="D70" s="6">
        <f>IF('Registo de operações'!AG76&gt;0,'Registo de operações'!AG76,"")</f>
        <v>191.15360570978996</v>
      </c>
      <c r="E70" s="8" t="str">
        <f>IF('Registo de operações'!AG76&lt;0,'Registo de operações'!AG76,"")</f>
        <v/>
      </c>
    </row>
    <row r="71" spans="1:5">
      <c r="A71" s="7">
        <f>'Registo de operações'!C77</f>
        <v>148</v>
      </c>
      <c r="B71" s="5">
        <f>IF('Registo de operações'!AJ77&gt;0,'Registo de operações'!AJ77,"")</f>
        <v>1.760000000000438E-2</v>
      </c>
      <c r="C71" s="5" t="str">
        <f>IF('Registo de operações'!AJ77&lt;0,'Registo de operações'!AJ77,"")</f>
        <v/>
      </c>
      <c r="D71" s="6">
        <f>IF('Registo de operações'!AG77&gt;0,'Registo de operações'!AG77,"")</f>
        <v>171.48549248515013</v>
      </c>
      <c r="E71" s="8" t="str">
        <f>IF('Registo de operações'!AG77&lt;0,'Registo de operações'!AG77,"")</f>
        <v/>
      </c>
    </row>
    <row r="72" spans="1:5">
      <c r="A72" s="7">
        <f>'Registo de operações'!C78</f>
        <v>149</v>
      </c>
      <c r="B72" s="5" t="str">
        <f>IF('Registo de operações'!AJ78&gt;0,'Registo de operações'!AJ78,"")</f>
        <v/>
      </c>
      <c r="C72" s="5">
        <f>IF('Registo de operações'!AJ78&lt;0,'Registo de operações'!AJ78,"")</f>
        <v>-0.01</v>
      </c>
      <c r="D72" s="6" t="str">
        <f>IF('Registo de operações'!AG78&gt;0,'Registo de operações'!AG78,"")</f>
        <v/>
      </c>
      <c r="E72" s="8">
        <f>IF('Registo de operações'!AG78&lt;0,'Registo de operações'!AG78,"")</f>
        <v>-99.109793836844361</v>
      </c>
    </row>
    <row r="73" spans="1:5">
      <c r="A73" s="7">
        <f>'Registo de operações'!C79</f>
        <v>150</v>
      </c>
      <c r="B73" s="5" t="str">
        <f>IF('Registo de operações'!AJ79&gt;0,'Registo de operações'!AJ79,"")</f>
        <v/>
      </c>
      <c r="C73" s="5">
        <f>IF('Registo de operações'!AJ79&lt;0,'Registo de operações'!AJ79,"")</f>
        <v>-0.01</v>
      </c>
      <c r="D73" s="6" t="str">
        <f>IF('Registo de operações'!AG79&gt;0,'Registo de operações'!AG79,"")</f>
        <v/>
      </c>
      <c r="E73" s="8">
        <f>IF('Registo de operações'!AG79&lt;0,'Registo de operações'!AG79,"")</f>
        <v>-98.070895898475925</v>
      </c>
    </row>
    <row r="74" spans="1:5">
      <c r="A74" s="7">
        <f>'Registo de operações'!C80</f>
        <v>151</v>
      </c>
      <c r="B74" s="5">
        <f>IF('Registo de operações'!AJ80&gt;0,'Registo de operações'!AJ80,"")</f>
        <v>2.1830985915492471E-2</v>
      </c>
      <c r="C74" s="5" t="str">
        <f>IF('Registo de operações'!AJ80&lt;0,'Registo de operações'!AJ80,"")</f>
        <v/>
      </c>
      <c r="D74" s="6">
        <f>IF('Registo de operações'!AG80&gt;0,'Registo de operações'!AG80,"")</f>
        <v>211.82733768479994</v>
      </c>
      <c r="E74" s="8" t="str">
        <f>IF('Registo de operações'!AG80&lt;0,'Registo de operações'!AG80,"")</f>
        <v/>
      </c>
    </row>
    <row r="75" spans="1:5">
      <c r="A75" s="7">
        <f>'Registo de operações'!C81</f>
        <v>152</v>
      </c>
      <c r="B75" s="5" t="str">
        <f>IF('Registo de operações'!AJ81&gt;0,'Registo de operações'!AJ81,"")</f>
        <v/>
      </c>
      <c r="C75" s="5">
        <f>IF('Registo de operações'!AJ81&lt;0,'Registo de operações'!AJ81,"")</f>
        <v>-0.01</v>
      </c>
      <c r="D75" s="6" t="str">
        <f>IF('Registo de operações'!AG81&gt;0,'Registo de operações'!AG81,"")</f>
        <v/>
      </c>
      <c r="E75" s="8">
        <f>IF('Registo de operações'!AG81&lt;0,'Registo de operações'!AG81,"")</f>
        <v>-99.108760316339172</v>
      </c>
    </row>
    <row r="76" spans="1:5">
      <c r="A76" s="7">
        <f>'Registo de operações'!C82</f>
        <v>153</v>
      </c>
      <c r="B76" s="5">
        <f>IF('Registo de operações'!AJ82&gt;0,'Registo de operações'!AJ82,"")</f>
        <v>1.7906976744187491E-2</v>
      </c>
      <c r="C76" s="5" t="str">
        <f>IF('Registo de operações'!AJ82&lt;0,'Registo de operações'!AJ82,"")</f>
        <v/>
      </c>
      <c r="D76" s="6">
        <f>IF('Registo de operações'!AG82&gt;0,'Registo de operações'!AG82,"")</f>
        <v>175.58305113756148</v>
      </c>
      <c r="E76" s="8" t="str">
        <f>IF('Registo de operações'!AG82&lt;0,'Registo de operações'!AG82,"")</f>
        <v/>
      </c>
    </row>
    <row r="77" spans="1:5">
      <c r="A77" s="7">
        <f>'Registo de operações'!C83</f>
        <v>154</v>
      </c>
      <c r="B77" s="5" t="str">
        <f>IF('Registo de operações'!AJ83&gt;0,'Registo de operações'!AJ83,"")</f>
        <v/>
      </c>
      <c r="C77" s="5">
        <f>IF('Registo de operações'!AJ83&lt;0,'Registo de operações'!AJ83,"")</f>
        <v>-0.01</v>
      </c>
      <c r="D77" s="6" t="str">
        <f>IF('Registo de operações'!AG83&gt;0,'Registo de operações'!AG83,"")</f>
        <v/>
      </c>
      <c r="E77" s="8">
        <f>IF('Registo de operações'!AG83&lt;0,'Registo de operações'!AG83,"")</f>
        <v>-99.743103224551405</v>
      </c>
    </row>
    <row r="78" spans="1:5">
      <c r="A78" s="7">
        <f>'Registo de operações'!C84</f>
        <v>155</v>
      </c>
      <c r="B78" s="5" t="str">
        <f>IF('Registo de operações'!AJ84&gt;0,'Registo de operações'!AJ84,"")</f>
        <v/>
      </c>
      <c r="C78" s="5">
        <f>IF('Registo de operações'!AJ84&lt;0,'Registo de operações'!AJ84,"")</f>
        <v>-0.01</v>
      </c>
      <c r="D78" s="6" t="str">
        <f>IF('Registo de operações'!AG84&gt;0,'Registo de operações'!AG84,"")</f>
        <v/>
      </c>
      <c r="E78" s="8">
        <f>IF('Registo de operações'!AG84&lt;0,'Registo de operações'!AG84,"")</f>
        <v>-98.695872192305885</v>
      </c>
    </row>
    <row r="79" spans="1:5">
      <c r="A79" s="7">
        <f>'Registo de operações'!C85</f>
        <v>156</v>
      </c>
      <c r="B79" s="5">
        <f>IF('Registo de operações'!AJ85&gt;0,'Registo de operações'!AJ85,"")</f>
        <v>1.6249999999998845E-2</v>
      </c>
      <c r="C79" s="5" t="str">
        <f>IF('Registo de operações'!AJ85&lt;0,'Registo de operações'!AJ85,"")</f>
        <v/>
      </c>
      <c r="D79" s="6">
        <f>IF('Registo de operações'!AG85&gt;0,'Registo de operações'!AG85,"")</f>
        <v>158.66680938936082</v>
      </c>
      <c r="E79" s="8" t="str">
        <f>IF('Registo de operações'!AG85&lt;0,'Registo de operações'!AG85,"")</f>
        <v/>
      </c>
    </row>
    <row r="80" spans="1:5">
      <c r="A80" s="7">
        <f>'Registo de operações'!C86</f>
        <v>157</v>
      </c>
      <c r="B80" s="5" t="str">
        <f>IF('Registo de operações'!AJ86&gt;0,'Registo de operações'!AJ86,"")</f>
        <v/>
      </c>
      <c r="C80" s="5">
        <f>IF('Registo de operações'!AJ86&lt;0,'Registo de operações'!AJ86,"")</f>
        <v>-0.01</v>
      </c>
      <c r="D80" s="6" t="str">
        <f>IF('Registo de operações'!AG86&gt;0,'Registo de operações'!AG86,"")</f>
        <v/>
      </c>
      <c r="E80" s="8">
        <f>IF('Registo de operações'!AG86&lt;0,'Registo de operações'!AG86,"")</f>
        <v>-99.162381564276444</v>
      </c>
    </row>
    <row r="81" spans="1:5">
      <c r="A81" s="7">
        <f>'Registo de operações'!C87</f>
        <v>158</v>
      </c>
      <c r="B81" s="5" t="str">
        <f>IF('Registo de operações'!AJ87&gt;0,'Registo de operações'!AJ87,"")</f>
        <v/>
      </c>
      <c r="C81" s="5">
        <f>IF('Registo de operações'!AJ87&lt;0,'Registo de operações'!AJ87,"")</f>
        <v>-0.01</v>
      </c>
      <c r="D81" s="6" t="str">
        <f>IF('Registo de operações'!AG87&gt;0,'Registo de operações'!AG87,"")</f>
        <v/>
      </c>
      <c r="E81" s="8">
        <f>IF('Registo de operações'!AG87&lt;0,'Registo de operações'!AG87,"")</f>
        <v>-98.139157748633679</v>
      </c>
    </row>
    <row r="82" spans="1:5">
      <c r="A82" s="7">
        <f>'Registo de operações'!C88</f>
        <v>159</v>
      </c>
      <c r="B82" s="5" t="str">
        <f>IF('Registo de operações'!AJ88&gt;0,'Registo de operações'!AJ88,"")</f>
        <v/>
      </c>
      <c r="C82" s="5">
        <f>IF('Registo de operações'!AJ88&lt;0,'Registo de operações'!AJ88,"")</f>
        <v>-0.01</v>
      </c>
      <c r="D82" s="6" t="str">
        <f>IF('Registo de operações'!AG88&gt;0,'Registo de operações'!AG88,"")</f>
        <v/>
      </c>
      <c r="E82" s="8">
        <f>IF('Registo de operações'!AG88&lt;0,'Registo de operações'!AG88,"")</f>
        <v>-97.08216617114735</v>
      </c>
    </row>
    <row r="83" spans="1:5">
      <c r="A83" s="7">
        <f>'Registo de operações'!C89</f>
        <v>160</v>
      </c>
      <c r="B83" s="5" t="str">
        <f>IF('Registo de operações'!AJ89&gt;0,'Registo de operações'!AJ89,"")</f>
        <v/>
      </c>
      <c r="C83" s="5">
        <f>IF('Registo de operações'!AJ89&lt;0,'Registo de operações'!AJ89,"")</f>
        <v>-0.01</v>
      </c>
      <c r="D83" s="6" t="str">
        <f>IF('Registo de operações'!AG89&gt;0,'Registo de operações'!AG89,"")</f>
        <v/>
      </c>
      <c r="E83" s="8">
        <f>IF('Registo de operações'!AG89&lt;0,'Registo de operações'!AG89,"")</f>
        <v>-96.080244509435872</v>
      </c>
    </row>
    <row r="84" spans="1:5">
      <c r="A84" s="7">
        <f>'Registo de operações'!C90</f>
        <v>161</v>
      </c>
      <c r="B84" s="5" t="str">
        <f>IF('Registo de operações'!AJ90&gt;0,'Registo de operações'!AJ90,"")</f>
        <v/>
      </c>
      <c r="C84" s="5">
        <f>IF('Registo de operações'!AJ90&lt;0,'Registo de operações'!AJ90,"")</f>
        <v>-0.01</v>
      </c>
      <c r="D84" s="6" t="str">
        <f>IF('Registo de operações'!AG90&gt;0,'Registo de operações'!AG90,"")</f>
        <v/>
      </c>
      <c r="E84" s="8">
        <f>IF('Registo de operações'!AG90&lt;0,'Registo de operações'!AG90,"")</f>
        <v>-95.066442064341516</v>
      </c>
    </row>
    <row r="85" spans="1:5">
      <c r="A85" s="7">
        <f>'Registo de operações'!C91</f>
        <v>162</v>
      </c>
      <c r="B85" s="5" t="str">
        <f>IF('Registo de operações'!AJ91&gt;0,'Registo de operações'!AJ91,"")</f>
        <v/>
      </c>
      <c r="C85" s="5">
        <f>IF('Registo de operações'!AJ91&lt;0,'Registo de operações'!AJ91,"")</f>
        <v>-3.1895763744639633E-3</v>
      </c>
      <c r="D85" s="6" t="str">
        <f>IF('Registo de operações'!AG91&gt;0,'Registo de operações'!AG91,"")</f>
        <v/>
      </c>
      <c r="E85" s="8">
        <f>IF('Registo de operações'!AG91&lt;0,'Registo de operações'!AG91,"")</f>
        <v>-30</v>
      </c>
    </row>
    <row r="86" spans="1:5">
      <c r="A86" s="7">
        <f>'Registo de operações'!C92</f>
        <v>0</v>
      </c>
      <c r="B86" s="5" t="str">
        <f>IF('Registo de operações'!AJ92&gt;0,'Registo de operações'!AJ92,"")</f>
        <v/>
      </c>
      <c r="C86" s="5" t="str">
        <f>IF('Registo de operações'!AJ92&lt;0,'Registo de operações'!AJ92,"")</f>
        <v/>
      </c>
      <c r="D86" s="6" t="str">
        <f>IF('Registo de operações'!AG92&gt;0,'Registo de operações'!AG92,"")</f>
        <v/>
      </c>
      <c r="E86" s="8" t="str">
        <f>IF('Registo de operações'!AG92&lt;0,'Registo de operações'!AG92,"")</f>
        <v/>
      </c>
    </row>
    <row r="87" spans="1:5">
      <c r="A87" s="7">
        <f>'Registo de operações'!C93</f>
        <v>0</v>
      </c>
      <c r="B87" s="5" t="str">
        <f>IF('Registo de operações'!AJ93&gt;0,'Registo de operações'!AJ93,"")</f>
        <v/>
      </c>
      <c r="C87" s="5" t="str">
        <f>IF('Registo de operações'!AJ93&lt;0,'Registo de operações'!AJ93,"")</f>
        <v/>
      </c>
      <c r="D87" s="6" t="str">
        <f>IF('Registo de operações'!AG93&gt;0,'Registo de operações'!AG93,"")</f>
        <v/>
      </c>
      <c r="E87" s="8" t="str">
        <f>IF('Registo de operações'!AG93&lt;0,'Registo de operações'!AG93,"")</f>
        <v/>
      </c>
    </row>
    <row r="88" spans="1:5">
      <c r="A88" s="7">
        <f>'Registo de operações'!C94</f>
        <v>0</v>
      </c>
      <c r="B88" s="5" t="str">
        <f>IF('Registo de operações'!AJ94&gt;0,'Registo de operações'!AJ94,"")</f>
        <v/>
      </c>
      <c r="C88" s="5" t="str">
        <f>IF('Registo de operações'!AJ94&lt;0,'Registo de operações'!AJ94,"")</f>
        <v/>
      </c>
      <c r="D88" s="6" t="str">
        <f>IF('Registo de operações'!AG94&gt;0,'Registo de operações'!AG94,"")</f>
        <v/>
      </c>
      <c r="E88" s="8" t="str">
        <f>IF('Registo de operações'!AG94&lt;0,'Registo de operações'!AG94,"")</f>
        <v/>
      </c>
    </row>
    <row r="89" spans="1:5">
      <c r="A89" s="7">
        <f>'Registo de operações'!C95</f>
        <v>0</v>
      </c>
      <c r="B89" s="5" t="str">
        <f>IF('Registo de operações'!AJ95&gt;0,'Registo de operações'!AJ95,"")</f>
        <v/>
      </c>
      <c r="C89" s="5" t="str">
        <f>IF('Registo de operações'!AJ95&lt;0,'Registo de operações'!AJ95,"")</f>
        <v/>
      </c>
      <c r="D89" s="6" t="str">
        <f>IF('Registo de operações'!AG95&gt;0,'Registo de operações'!AG95,"")</f>
        <v/>
      </c>
      <c r="E89" s="8" t="str">
        <f>IF('Registo de operações'!AG95&lt;0,'Registo de operações'!AG95,"")</f>
        <v/>
      </c>
    </row>
    <row r="90" spans="1:5">
      <c r="A90" s="7">
        <f>'Registo de operações'!C96</f>
        <v>0</v>
      </c>
      <c r="B90" s="5" t="str">
        <f>IF('Registo de operações'!AJ96&gt;0,'Registo de operações'!AJ96,"")</f>
        <v/>
      </c>
      <c r="C90" s="5" t="str">
        <f>IF('Registo de operações'!AJ96&lt;0,'Registo de operações'!AJ96,"")</f>
        <v/>
      </c>
      <c r="D90" s="6" t="str">
        <f>IF('Registo de operações'!AG96&gt;0,'Registo de operações'!AG96,"")</f>
        <v/>
      </c>
      <c r="E90" s="8" t="str">
        <f>IF('Registo de operações'!AG96&lt;0,'Registo de operações'!AG96,"")</f>
        <v/>
      </c>
    </row>
    <row r="91" spans="1:5">
      <c r="A91" s="7">
        <f>'Registo de operações'!C97</f>
        <v>0</v>
      </c>
      <c r="B91" s="5" t="str">
        <f>IF('Registo de operações'!AJ97&gt;0,'Registo de operações'!AJ97,"")</f>
        <v/>
      </c>
      <c r="C91" s="5" t="str">
        <f>IF('Registo de operações'!AJ97&lt;0,'Registo de operações'!AJ97,"")</f>
        <v/>
      </c>
      <c r="D91" s="6" t="str">
        <f>IF('Registo de operações'!AG97&gt;0,'Registo de operações'!AG97,"")</f>
        <v/>
      </c>
      <c r="E91" s="8" t="str">
        <f>IF('Registo de operações'!AG97&lt;0,'Registo de operações'!AG97,"")</f>
        <v/>
      </c>
    </row>
    <row r="92" spans="1:5">
      <c r="A92" s="7">
        <f>'Registo de operações'!C98</f>
        <v>0</v>
      </c>
      <c r="B92" s="5" t="str">
        <f>IF('Registo de operações'!AJ98&gt;0,'Registo de operações'!AJ98,"")</f>
        <v/>
      </c>
      <c r="C92" s="5" t="str">
        <f>IF('Registo de operações'!AJ98&lt;0,'Registo de operações'!AJ98,"")</f>
        <v/>
      </c>
      <c r="D92" s="6" t="str">
        <f>IF('Registo de operações'!AG98&gt;0,'Registo de operações'!AG98,"")</f>
        <v/>
      </c>
      <c r="E92" s="8" t="str">
        <f>IF('Registo de operações'!AG98&lt;0,'Registo de operações'!AG98,"")</f>
        <v/>
      </c>
    </row>
    <row r="93" spans="1:5">
      <c r="A93" s="7">
        <f>'Registo de operações'!C99</f>
        <v>0</v>
      </c>
      <c r="B93" s="5" t="str">
        <f>IF('Registo de operações'!AJ99&gt;0,'Registo de operações'!AJ99,"")</f>
        <v/>
      </c>
      <c r="C93" s="5" t="str">
        <f>IF('Registo de operações'!AJ99&lt;0,'Registo de operações'!AJ99,"")</f>
        <v/>
      </c>
      <c r="D93" s="6" t="str">
        <f>IF('Registo de operações'!AG99&gt;0,'Registo de operações'!AG99,"")</f>
        <v/>
      </c>
      <c r="E93" s="8" t="str">
        <f>IF('Registo de operações'!AG99&lt;0,'Registo de operações'!AG99,"")</f>
        <v/>
      </c>
    </row>
    <row r="94" spans="1:5">
      <c r="A94" s="7">
        <f>'Registo de operações'!C100</f>
        <v>0</v>
      </c>
      <c r="B94" s="5" t="str">
        <f>IF('Registo de operações'!AJ100&gt;0,'Registo de operações'!AJ100,"")</f>
        <v/>
      </c>
      <c r="C94" s="5" t="str">
        <f>IF('Registo de operações'!AJ100&lt;0,'Registo de operações'!AJ100,"")</f>
        <v/>
      </c>
      <c r="D94" s="6" t="str">
        <f>IF('Registo de operações'!AG100&gt;0,'Registo de operações'!AG100,"")</f>
        <v/>
      </c>
      <c r="E94" s="8" t="str">
        <f>IF('Registo de operações'!AG100&lt;0,'Registo de operações'!AG100,"")</f>
        <v/>
      </c>
    </row>
    <row r="95" spans="1:5">
      <c r="A95" s="7">
        <f>'Registo de operações'!C101</f>
        <v>0</v>
      </c>
      <c r="B95" s="5" t="str">
        <f>IF('Registo de operações'!AJ101&gt;0,'Registo de operações'!AJ101,"")</f>
        <v/>
      </c>
      <c r="C95" s="5" t="str">
        <f>IF('Registo de operações'!AJ101&lt;0,'Registo de operações'!AJ101,"")</f>
        <v/>
      </c>
      <c r="D95" s="6" t="str">
        <f>IF('Registo de operações'!AG101&gt;0,'Registo de operações'!AG101,"")</f>
        <v/>
      </c>
      <c r="E95" s="8" t="str">
        <f>IF('Registo de operações'!AG101&lt;0,'Registo de operações'!AG101,"")</f>
        <v/>
      </c>
    </row>
    <row r="96" spans="1:5">
      <c r="A96" s="7">
        <f>'Registo de operações'!C102</f>
        <v>0</v>
      </c>
      <c r="B96" s="5" t="str">
        <f>IF('Registo de operações'!AJ102&gt;0,'Registo de operações'!AJ102,"")</f>
        <v/>
      </c>
      <c r="C96" s="5" t="str">
        <f>IF('Registo de operações'!AJ102&lt;0,'Registo de operações'!AJ102,"")</f>
        <v/>
      </c>
      <c r="D96" s="6" t="str">
        <f>IF('Registo de operações'!AG102&gt;0,'Registo de operações'!AG102,"")</f>
        <v/>
      </c>
      <c r="E96" s="8" t="str">
        <f>IF('Registo de operações'!AG102&lt;0,'Registo de operações'!AG102,"")</f>
        <v/>
      </c>
    </row>
    <row r="97" spans="1:5">
      <c r="A97" s="7">
        <f>'Registo de operações'!C103</f>
        <v>0</v>
      </c>
      <c r="B97" s="5" t="str">
        <f>IF('Registo de operações'!AJ103&gt;0,'Registo de operações'!AJ103,"")</f>
        <v/>
      </c>
      <c r="C97" s="5" t="str">
        <f>IF('Registo de operações'!AJ103&lt;0,'Registo de operações'!AJ103,"")</f>
        <v/>
      </c>
      <c r="D97" s="6" t="str">
        <f>IF('Registo de operações'!AG103&gt;0,'Registo de operações'!AG103,"")</f>
        <v/>
      </c>
      <c r="E97" s="8" t="str">
        <f>IF('Registo de operações'!AG103&lt;0,'Registo de operações'!AG103,"")</f>
        <v/>
      </c>
    </row>
    <row r="98" spans="1:5">
      <c r="A98" s="7">
        <f>'Registo de operações'!C104</f>
        <v>0</v>
      </c>
      <c r="B98" s="5" t="str">
        <f>IF('Registo de operações'!AJ104&gt;0,'Registo de operações'!AJ104,"")</f>
        <v/>
      </c>
      <c r="C98" s="5" t="str">
        <f>IF('Registo de operações'!AJ104&lt;0,'Registo de operações'!AJ104,"")</f>
        <v/>
      </c>
      <c r="D98" s="6" t="str">
        <f>IF('Registo de operações'!AG104&gt;0,'Registo de operações'!AG104,"")</f>
        <v/>
      </c>
      <c r="E98" s="8" t="str">
        <f>IF('Registo de operações'!AG104&lt;0,'Registo de operações'!AG104,"")</f>
        <v/>
      </c>
    </row>
    <row r="99" spans="1:5">
      <c r="A99" s="7">
        <f>'Registo de operações'!C105</f>
        <v>0</v>
      </c>
      <c r="B99" s="5" t="str">
        <f>IF('Registo de operações'!AJ105&gt;0,'Registo de operações'!AJ105,"")</f>
        <v/>
      </c>
      <c r="C99" s="5" t="str">
        <f>IF('Registo de operações'!AJ105&lt;0,'Registo de operações'!AJ105,"")</f>
        <v/>
      </c>
      <c r="D99" s="6" t="str">
        <f>IF('Registo de operações'!AG105&gt;0,'Registo de operações'!AG105,"")</f>
        <v/>
      </c>
      <c r="E99" s="8" t="str">
        <f>IF('Registo de operações'!AG105&lt;0,'Registo de operações'!AG105,"")</f>
        <v/>
      </c>
    </row>
    <row r="100" spans="1:5">
      <c r="A100" s="7">
        <f>'Registo de operações'!C106</f>
        <v>0</v>
      </c>
      <c r="B100" s="5" t="str">
        <f>IF('Registo de operações'!AJ106&gt;0,'Registo de operações'!AJ106,"")</f>
        <v/>
      </c>
      <c r="C100" s="5" t="str">
        <f>IF('Registo de operações'!AJ106&lt;0,'Registo de operações'!AJ106,"")</f>
        <v/>
      </c>
      <c r="D100" s="6" t="str">
        <f>IF('Registo de operações'!AG106&gt;0,'Registo de operações'!AG106,"")</f>
        <v/>
      </c>
      <c r="E100" s="8" t="str">
        <f>IF('Registo de operações'!AG106&lt;0,'Registo de operações'!AG106,"")</f>
        <v/>
      </c>
    </row>
    <row r="101" spans="1:5">
      <c r="A101" s="7">
        <f>'Registo de operações'!C107</f>
        <v>0</v>
      </c>
      <c r="B101" s="5" t="str">
        <f>IF('Registo de operações'!AJ107&gt;0,'Registo de operações'!AJ107,"")</f>
        <v/>
      </c>
      <c r="C101" s="5" t="str">
        <f>IF('Registo de operações'!AJ107&lt;0,'Registo de operações'!AJ107,"")</f>
        <v/>
      </c>
      <c r="D101" s="6" t="str">
        <f>IF('Registo de operações'!AG107&gt;0,'Registo de operações'!AG107,"")</f>
        <v/>
      </c>
      <c r="E101" s="8" t="str">
        <f>IF('Registo de operações'!AG107&lt;0,'Registo de operações'!AG107,"")</f>
        <v/>
      </c>
    </row>
    <row r="102" spans="1:5">
      <c r="A102" s="7">
        <f>'Registo de operações'!C108</f>
        <v>0</v>
      </c>
      <c r="B102" s="5" t="str">
        <f>IF('Registo de operações'!AJ108&gt;0,'Registo de operações'!AJ108,"")</f>
        <v/>
      </c>
      <c r="C102" s="5" t="str">
        <f>IF('Registo de operações'!AJ108&lt;0,'Registo de operações'!AJ108,"")</f>
        <v/>
      </c>
      <c r="D102" s="6" t="str">
        <f>IF('Registo de operações'!AG108&gt;0,'Registo de operações'!AG108,"")</f>
        <v/>
      </c>
      <c r="E102" s="8" t="str">
        <f>IF('Registo de operações'!AG108&lt;0,'Registo de operações'!AG108,"")</f>
        <v/>
      </c>
    </row>
    <row r="103" spans="1:5">
      <c r="A103" s="7">
        <f>'Registo de operações'!C109</f>
        <v>0</v>
      </c>
      <c r="B103" s="5" t="str">
        <f>IF('Registo de operações'!AJ109&gt;0,'Registo de operações'!AJ109,"")</f>
        <v/>
      </c>
      <c r="C103" s="5" t="str">
        <f>IF('Registo de operações'!AJ109&lt;0,'Registo de operações'!AJ109,"")</f>
        <v/>
      </c>
      <c r="D103" s="6" t="str">
        <f>IF('Registo de operações'!AG109&gt;0,'Registo de operações'!AG109,"")</f>
        <v/>
      </c>
      <c r="E103" s="8" t="str">
        <f>IF('Registo de operações'!AG109&lt;0,'Registo de operações'!AG109,"")</f>
        <v/>
      </c>
    </row>
    <row r="104" spans="1:5">
      <c r="A104" s="7">
        <f>'Registo de operações'!C110</f>
        <v>0</v>
      </c>
      <c r="B104" s="5" t="str">
        <f>IF('Registo de operações'!AJ110&gt;0,'Registo de operações'!AJ110,"")</f>
        <v/>
      </c>
      <c r="C104" s="5" t="str">
        <f>IF('Registo de operações'!AJ110&lt;0,'Registo de operações'!AJ110,"")</f>
        <v/>
      </c>
      <c r="D104" s="6" t="str">
        <f>IF('Registo de operações'!AG110&gt;0,'Registo de operações'!AG110,"")</f>
        <v/>
      </c>
      <c r="E104" s="8" t="str">
        <f>IF('Registo de operações'!AG110&lt;0,'Registo de operações'!AG110,"")</f>
        <v/>
      </c>
    </row>
    <row r="105" spans="1:5">
      <c r="A105" s="7">
        <f>'Registo de operações'!C111</f>
        <v>0</v>
      </c>
      <c r="B105" s="5" t="str">
        <f>IF('Registo de operações'!AJ111&gt;0,'Registo de operações'!AJ111,"")</f>
        <v/>
      </c>
      <c r="C105" s="5" t="str">
        <f>IF('Registo de operações'!AJ111&lt;0,'Registo de operações'!AJ111,"")</f>
        <v/>
      </c>
      <c r="D105" s="6" t="str">
        <f>IF('Registo de operações'!AG111&gt;0,'Registo de operações'!AG111,"")</f>
        <v/>
      </c>
      <c r="E105" s="8" t="str">
        <f>IF('Registo de operações'!AG111&lt;0,'Registo de operações'!AG111,"")</f>
        <v/>
      </c>
    </row>
    <row r="106" spans="1:5">
      <c r="A106" s="7">
        <f>'Registo de operações'!C112</f>
        <v>0</v>
      </c>
      <c r="B106" s="5" t="str">
        <f>IF('Registo de operações'!AJ112&gt;0,'Registo de operações'!AJ112,"")</f>
        <v/>
      </c>
      <c r="C106" s="5" t="str">
        <f>IF('Registo de operações'!AJ112&lt;0,'Registo de operações'!AJ112,"")</f>
        <v/>
      </c>
      <c r="D106" s="6" t="str">
        <f>IF('Registo de operações'!AG112&gt;0,'Registo de operações'!AG112,"")</f>
        <v/>
      </c>
      <c r="E106" s="8" t="str">
        <f>IF('Registo de operações'!AG112&lt;0,'Registo de operações'!AG112,"")</f>
        <v/>
      </c>
    </row>
    <row r="107" spans="1:5">
      <c r="A107" s="7">
        <f>'Registo de operações'!C113</f>
        <v>0</v>
      </c>
      <c r="B107" s="5" t="str">
        <f>IF('Registo de operações'!AJ113&gt;0,'Registo de operações'!AJ113,"")</f>
        <v/>
      </c>
      <c r="C107" s="5" t="str">
        <f>IF('Registo de operações'!AJ113&lt;0,'Registo de operações'!AJ113,"")</f>
        <v/>
      </c>
      <c r="D107" s="6" t="str">
        <f>IF('Registo de operações'!AG113&gt;0,'Registo de operações'!AG113,"")</f>
        <v/>
      </c>
      <c r="E107" s="8" t="str">
        <f>IF('Registo de operações'!AG113&lt;0,'Registo de operações'!AG113,"")</f>
        <v/>
      </c>
    </row>
    <row r="108" spans="1:5">
      <c r="A108" s="7">
        <f>'Registo de operações'!C114</f>
        <v>0</v>
      </c>
      <c r="B108" s="5" t="str">
        <f>IF('Registo de operações'!AJ114&gt;0,'Registo de operações'!AJ114,"")</f>
        <v/>
      </c>
      <c r="C108" s="5" t="str">
        <f>IF('Registo de operações'!AJ114&lt;0,'Registo de operações'!AJ114,"")</f>
        <v/>
      </c>
      <c r="D108" s="6" t="str">
        <f>IF('Registo de operações'!AG114&gt;0,'Registo de operações'!AG114,"")</f>
        <v/>
      </c>
      <c r="E108" s="8" t="str">
        <f>IF('Registo de operações'!AG114&lt;0,'Registo de operações'!AG114,"")</f>
        <v/>
      </c>
    </row>
    <row r="109" spans="1:5">
      <c r="A109" s="7">
        <f>'Registo de operações'!C115</f>
        <v>0</v>
      </c>
      <c r="B109" s="5" t="str">
        <f>IF('Registo de operações'!AJ115&gt;0,'Registo de operações'!AJ115,"")</f>
        <v/>
      </c>
      <c r="C109" s="5" t="str">
        <f>IF('Registo de operações'!AJ115&lt;0,'Registo de operações'!AJ115,"")</f>
        <v/>
      </c>
      <c r="D109" s="6" t="str">
        <f>IF('Registo de operações'!AG115&gt;0,'Registo de operações'!AG115,"")</f>
        <v/>
      </c>
      <c r="E109" s="8" t="str">
        <f>IF('Registo de operações'!AG115&lt;0,'Registo de operações'!AG115,"")</f>
        <v/>
      </c>
    </row>
    <row r="110" spans="1:5">
      <c r="A110" s="7">
        <f>'Registo de operações'!C116</f>
        <v>0</v>
      </c>
      <c r="B110" s="5" t="str">
        <f>IF('Registo de operações'!AJ116&gt;0,'Registo de operações'!AJ116,"")</f>
        <v/>
      </c>
      <c r="C110" s="5" t="str">
        <f>IF('Registo de operações'!AJ116&lt;0,'Registo de operações'!AJ116,"")</f>
        <v/>
      </c>
      <c r="D110" s="6" t="str">
        <f>IF('Registo de operações'!AG116&gt;0,'Registo de operações'!AG116,"")</f>
        <v/>
      </c>
      <c r="E110" s="8" t="str">
        <f>IF('Registo de operações'!AG116&lt;0,'Registo de operações'!AG116,"")</f>
        <v/>
      </c>
    </row>
    <row r="111" spans="1:5">
      <c r="A111" s="7">
        <f>'Registo de operações'!C117</f>
        <v>0</v>
      </c>
      <c r="B111" s="5" t="str">
        <f>IF('Registo de operações'!AJ117&gt;0,'Registo de operações'!AJ117,"")</f>
        <v/>
      </c>
      <c r="C111" s="5" t="str">
        <f>IF('Registo de operações'!AJ117&lt;0,'Registo de operações'!AJ117,"")</f>
        <v/>
      </c>
      <c r="D111" s="6" t="str">
        <f>IF('Registo de operações'!AG117&gt;0,'Registo de operações'!AG117,"")</f>
        <v/>
      </c>
      <c r="E111" s="8" t="str">
        <f>IF('Registo de operações'!AG117&lt;0,'Registo de operações'!AG117,"")</f>
        <v/>
      </c>
    </row>
    <row r="112" spans="1:5">
      <c r="A112" s="7">
        <f>'Registo de operações'!C118</f>
        <v>0</v>
      </c>
      <c r="B112" s="5" t="str">
        <f>IF('Registo de operações'!AJ118&gt;0,'Registo de operações'!AJ118,"")</f>
        <v/>
      </c>
      <c r="C112" s="5" t="str">
        <f>IF('Registo de operações'!AJ118&lt;0,'Registo de operações'!AJ118,"")</f>
        <v/>
      </c>
      <c r="D112" s="6" t="str">
        <f>IF('Registo de operações'!AG118&gt;0,'Registo de operações'!AG118,"")</f>
        <v/>
      </c>
      <c r="E112" s="8" t="str">
        <f>IF('Registo de operações'!AG118&lt;0,'Registo de operações'!AG118,"")</f>
        <v/>
      </c>
    </row>
    <row r="113" spans="1:5">
      <c r="A113" s="7">
        <f>'Registo de operações'!C119</f>
        <v>0</v>
      </c>
      <c r="B113" s="5" t="str">
        <f>IF('Registo de operações'!AJ119&gt;0,'Registo de operações'!AJ119,"")</f>
        <v/>
      </c>
      <c r="C113" s="5" t="str">
        <f>IF('Registo de operações'!AJ119&lt;0,'Registo de operações'!AJ119,"")</f>
        <v/>
      </c>
      <c r="D113" s="6" t="str">
        <f>IF('Registo de operações'!AG119&gt;0,'Registo de operações'!AG119,"")</f>
        <v/>
      </c>
      <c r="E113" s="8" t="str">
        <f>IF('Registo de operações'!AG119&lt;0,'Registo de operações'!AG119,"")</f>
        <v/>
      </c>
    </row>
    <row r="114" spans="1:5">
      <c r="A114" s="7">
        <f>'Registo de operações'!C120</f>
        <v>0</v>
      </c>
      <c r="B114" s="5" t="str">
        <f>IF('Registo de operações'!AJ120&gt;0,'Registo de operações'!AJ120,"")</f>
        <v/>
      </c>
      <c r="C114" s="5" t="str">
        <f>IF('Registo de operações'!AJ120&lt;0,'Registo de operações'!AJ120,"")</f>
        <v/>
      </c>
      <c r="D114" s="6" t="str">
        <f>IF('Registo de operações'!AG120&gt;0,'Registo de operações'!AG120,"")</f>
        <v/>
      </c>
      <c r="E114" s="8" t="str">
        <f>IF('Registo de operações'!AG120&lt;0,'Registo de operações'!AG120,"")</f>
        <v/>
      </c>
    </row>
    <row r="115" spans="1:5">
      <c r="A115" s="7">
        <f>'Registo de operações'!C121</f>
        <v>0</v>
      </c>
      <c r="B115" s="5" t="str">
        <f>IF('Registo de operações'!AJ121&gt;0,'Registo de operações'!AJ121,"")</f>
        <v/>
      </c>
      <c r="C115" s="5" t="str">
        <f>IF('Registo de operações'!AJ121&lt;0,'Registo de operações'!AJ121,"")</f>
        <v/>
      </c>
      <c r="D115" s="6" t="str">
        <f>IF('Registo de operações'!AG121&gt;0,'Registo de operações'!AG121,"")</f>
        <v/>
      </c>
      <c r="E115" s="8" t="str">
        <f>IF('Registo de operações'!AG121&lt;0,'Registo de operações'!AG121,"")</f>
        <v/>
      </c>
    </row>
    <row r="116" spans="1:5">
      <c r="A116" s="7">
        <f>'Registo de operações'!C122</f>
        <v>0</v>
      </c>
      <c r="B116" s="5" t="str">
        <f>IF('Registo de operações'!AJ122&gt;0,'Registo de operações'!AJ122,"")</f>
        <v/>
      </c>
      <c r="C116" s="5" t="str">
        <f>IF('Registo de operações'!AJ122&lt;0,'Registo de operações'!AJ122,"")</f>
        <v/>
      </c>
      <c r="D116" s="6" t="str">
        <f>IF('Registo de operações'!AG122&gt;0,'Registo de operações'!AG122,"")</f>
        <v/>
      </c>
      <c r="E116" s="8" t="str">
        <f>IF('Registo de operações'!AG122&lt;0,'Registo de operações'!AG122,"")</f>
        <v/>
      </c>
    </row>
    <row r="117" spans="1:5">
      <c r="A117" s="7">
        <f>'Registo de operações'!C123</f>
        <v>0</v>
      </c>
      <c r="B117" s="5" t="str">
        <f>IF('Registo de operações'!AJ123&gt;0,'Registo de operações'!AJ123,"")</f>
        <v/>
      </c>
      <c r="C117" s="5" t="str">
        <f>IF('Registo de operações'!AJ123&lt;0,'Registo de operações'!AJ123,"")</f>
        <v/>
      </c>
      <c r="D117" s="6" t="str">
        <f>IF('Registo de operações'!AG123&gt;0,'Registo de operações'!AG123,"")</f>
        <v/>
      </c>
      <c r="E117" s="8" t="str">
        <f>IF('Registo de operações'!AG123&lt;0,'Registo de operações'!AG123,"")</f>
        <v/>
      </c>
    </row>
    <row r="118" spans="1:5">
      <c r="A118" s="7">
        <f>'Registo de operações'!C124</f>
        <v>0</v>
      </c>
      <c r="B118" s="5" t="str">
        <f>IF('Registo de operações'!AJ124&gt;0,'Registo de operações'!AJ124,"")</f>
        <v/>
      </c>
      <c r="C118" s="5" t="str">
        <f>IF('Registo de operações'!AJ124&lt;0,'Registo de operações'!AJ124,"")</f>
        <v/>
      </c>
      <c r="D118" s="6" t="str">
        <f>IF('Registo de operações'!AG124&gt;0,'Registo de operações'!AG124,"")</f>
        <v/>
      </c>
      <c r="E118" s="8" t="str">
        <f>IF('Registo de operações'!AG124&lt;0,'Registo de operações'!AG124,"")</f>
        <v/>
      </c>
    </row>
    <row r="119" spans="1:5">
      <c r="A119" s="7">
        <f>'Registo de operações'!C125</f>
        <v>0</v>
      </c>
      <c r="B119" s="5" t="str">
        <f>IF('Registo de operações'!AJ125&gt;0,'Registo de operações'!AJ125,"")</f>
        <v/>
      </c>
      <c r="C119" s="5" t="str">
        <f>IF('Registo de operações'!AJ125&lt;0,'Registo de operações'!AJ125,"")</f>
        <v/>
      </c>
      <c r="D119" s="6" t="str">
        <f>IF('Registo de operações'!AG125&gt;0,'Registo de operações'!AG125,"")</f>
        <v/>
      </c>
      <c r="E119" s="8" t="str">
        <f>IF('Registo de operações'!AG125&lt;0,'Registo de operações'!AG125,"")</f>
        <v/>
      </c>
    </row>
    <row r="120" spans="1:5">
      <c r="A120" s="7">
        <f>'Registo de operações'!C126</f>
        <v>0</v>
      </c>
      <c r="B120" s="5" t="str">
        <f>IF('Registo de operações'!AJ126&gt;0,'Registo de operações'!AJ126,"")</f>
        <v/>
      </c>
      <c r="C120" s="5" t="str">
        <f>IF('Registo de operações'!AJ126&lt;0,'Registo de operações'!AJ126,"")</f>
        <v/>
      </c>
      <c r="D120" s="6" t="str">
        <f>IF('Registo de operações'!AG126&gt;0,'Registo de operações'!AG126,"")</f>
        <v/>
      </c>
      <c r="E120" s="8" t="str">
        <f>IF('Registo de operações'!AG126&lt;0,'Registo de operações'!AG126,"")</f>
        <v/>
      </c>
    </row>
    <row r="121" spans="1:5">
      <c r="A121" s="7">
        <f>'Registo de operações'!C127</f>
        <v>0</v>
      </c>
      <c r="B121" s="5" t="str">
        <f>IF('Registo de operações'!AJ127&gt;0,'Registo de operações'!AJ127,"")</f>
        <v/>
      </c>
      <c r="C121" s="5" t="str">
        <f>IF('Registo de operações'!AJ127&lt;0,'Registo de operações'!AJ127,"")</f>
        <v/>
      </c>
      <c r="D121" s="6" t="str">
        <f>IF('Registo de operações'!AG127&gt;0,'Registo de operações'!AG127,"")</f>
        <v/>
      </c>
      <c r="E121" s="8" t="str">
        <f>IF('Registo de operações'!AG127&lt;0,'Registo de operações'!AG127,"")</f>
        <v/>
      </c>
    </row>
    <row r="122" spans="1:5">
      <c r="A122" s="7">
        <f>'Registo de operações'!C128</f>
        <v>0</v>
      </c>
      <c r="B122" s="5" t="str">
        <f>IF('Registo de operações'!AJ128&gt;0,'Registo de operações'!AJ128,"")</f>
        <v/>
      </c>
      <c r="C122" s="5" t="str">
        <f>IF('Registo de operações'!AJ128&lt;0,'Registo de operações'!AJ128,"")</f>
        <v/>
      </c>
      <c r="D122" s="6" t="str">
        <f>IF('Registo de operações'!AG128&gt;0,'Registo de operações'!AG128,"")</f>
        <v/>
      </c>
      <c r="E122" s="8" t="str">
        <f>IF('Registo de operações'!AG128&lt;0,'Registo de operações'!AG128,"")</f>
        <v/>
      </c>
    </row>
    <row r="123" spans="1:5">
      <c r="A123" s="7">
        <f>'Registo de operações'!C129</f>
        <v>0</v>
      </c>
      <c r="B123" s="5" t="str">
        <f>IF('Registo de operações'!AJ129&gt;0,'Registo de operações'!AJ129,"")</f>
        <v/>
      </c>
      <c r="C123" s="5" t="str">
        <f>IF('Registo de operações'!AJ129&lt;0,'Registo de operações'!AJ129,"")</f>
        <v/>
      </c>
      <c r="D123" s="6" t="str">
        <f>IF('Registo de operações'!AG129&gt;0,'Registo de operações'!AG129,"")</f>
        <v/>
      </c>
      <c r="E123" s="8" t="str">
        <f>IF('Registo de operações'!AG129&lt;0,'Registo de operações'!AG129,"")</f>
        <v/>
      </c>
    </row>
    <row r="124" spans="1:5">
      <c r="A124" s="7">
        <f>'Registo de operações'!C130</f>
        <v>0</v>
      </c>
      <c r="B124" s="5" t="str">
        <f>IF('Registo de operações'!AJ130&gt;0,'Registo de operações'!AJ130,"")</f>
        <v/>
      </c>
      <c r="C124" s="5" t="str">
        <f>IF('Registo de operações'!AJ130&lt;0,'Registo de operações'!AJ130,"")</f>
        <v/>
      </c>
      <c r="D124" s="6" t="str">
        <f>IF('Registo de operações'!AG130&gt;0,'Registo de operações'!AG130,"")</f>
        <v/>
      </c>
      <c r="E124" s="8" t="str">
        <f>IF('Registo de operações'!AG130&lt;0,'Registo de operações'!AG130,"")</f>
        <v/>
      </c>
    </row>
    <row r="125" spans="1:5">
      <c r="A125" s="7">
        <f>'Registo de operações'!C131</f>
        <v>0</v>
      </c>
      <c r="B125" s="5" t="str">
        <f>IF('Registo de operações'!AJ131&gt;0,'Registo de operações'!AJ131,"")</f>
        <v/>
      </c>
      <c r="C125" s="5" t="str">
        <f>IF('Registo de operações'!AJ131&lt;0,'Registo de operações'!AJ131,"")</f>
        <v/>
      </c>
      <c r="D125" s="6" t="str">
        <f>IF('Registo de operações'!AG131&gt;0,'Registo de operações'!AG131,"")</f>
        <v/>
      </c>
      <c r="E125" s="8" t="str">
        <f>IF('Registo de operações'!AG131&lt;0,'Registo de operações'!AG131,"")</f>
        <v/>
      </c>
    </row>
    <row r="126" spans="1:5">
      <c r="A126" s="7">
        <f>'Registo de operações'!C132</f>
        <v>0</v>
      </c>
      <c r="B126" s="5" t="str">
        <f>IF('Registo de operações'!AJ132&gt;0,'Registo de operações'!AJ132,"")</f>
        <v/>
      </c>
      <c r="C126" s="5" t="str">
        <f>IF('Registo de operações'!AJ132&lt;0,'Registo de operações'!AJ132,"")</f>
        <v/>
      </c>
      <c r="D126" s="6" t="str">
        <f>IF('Registo de operações'!AG132&gt;0,'Registo de operações'!AG132,"")</f>
        <v/>
      </c>
      <c r="E126" s="8" t="str">
        <f>IF('Registo de operações'!AG132&lt;0,'Registo de operações'!AG132,"")</f>
        <v/>
      </c>
    </row>
    <row r="127" spans="1:5">
      <c r="A127" s="7">
        <f>'Registo de operações'!C133</f>
        <v>0</v>
      </c>
      <c r="B127" s="5" t="str">
        <f>IF('Registo de operações'!AJ133&gt;0,'Registo de operações'!AJ133,"")</f>
        <v/>
      </c>
      <c r="C127" s="5" t="str">
        <f>IF('Registo de operações'!AJ133&lt;0,'Registo de operações'!AJ133,"")</f>
        <v/>
      </c>
      <c r="D127" s="6" t="str">
        <f>IF('Registo de operações'!AG133&gt;0,'Registo de operações'!AG133,"")</f>
        <v/>
      </c>
      <c r="E127" s="8" t="str">
        <f>IF('Registo de operações'!AG133&lt;0,'Registo de operações'!AG133,"")</f>
        <v/>
      </c>
    </row>
    <row r="128" spans="1:5">
      <c r="A128" s="7">
        <f>'Registo de operações'!C134</f>
        <v>0</v>
      </c>
      <c r="B128" s="5" t="str">
        <f>IF('Registo de operações'!AJ134&gt;0,'Registo de operações'!AJ134,"")</f>
        <v/>
      </c>
      <c r="C128" s="5" t="str">
        <f>IF('Registo de operações'!AJ134&lt;0,'Registo de operações'!AJ134,"")</f>
        <v/>
      </c>
      <c r="D128" s="6" t="str">
        <f>IF('Registo de operações'!AG134&gt;0,'Registo de operações'!AG134,"")</f>
        <v/>
      </c>
      <c r="E128" s="8" t="str">
        <f>IF('Registo de operações'!AG134&lt;0,'Registo de operações'!AG134,"")</f>
        <v/>
      </c>
    </row>
    <row r="129" spans="1:5">
      <c r="A129" s="7">
        <f>'Registo de operações'!C135</f>
        <v>0</v>
      </c>
      <c r="B129" s="5" t="str">
        <f>IF('Registo de operações'!AJ135&gt;0,'Registo de operações'!AJ135,"")</f>
        <v/>
      </c>
      <c r="C129" s="5" t="str">
        <f>IF('Registo de operações'!AJ135&lt;0,'Registo de operações'!AJ135,"")</f>
        <v/>
      </c>
      <c r="D129" s="6" t="str">
        <f>IF('Registo de operações'!AG135&gt;0,'Registo de operações'!AG135,"")</f>
        <v/>
      </c>
      <c r="E129" s="8" t="str">
        <f>IF('Registo de operações'!AG135&lt;0,'Registo de operações'!AG135,"")</f>
        <v/>
      </c>
    </row>
    <row r="130" spans="1:5">
      <c r="A130" s="7">
        <f>'Registo de operações'!C136</f>
        <v>0</v>
      </c>
      <c r="B130" s="5" t="str">
        <f>IF('Registo de operações'!AJ136&gt;0,'Registo de operações'!AJ136,"")</f>
        <v/>
      </c>
      <c r="C130" s="5" t="str">
        <f>IF('Registo de operações'!AJ136&lt;0,'Registo de operações'!AJ136,"")</f>
        <v/>
      </c>
      <c r="D130" s="6" t="str">
        <f>IF('Registo de operações'!AG136&gt;0,'Registo de operações'!AG136,"")</f>
        <v/>
      </c>
      <c r="E130" s="8" t="str">
        <f>IF('Registo de operações'!AG136&lt;0,'Registo de operações'!AG136,"")</f>
        <v/>
      </c>
    </row>
    <row r="131" spans="1:5">
      <c r="A131" s="7">
        <f>'Registo de operações'!C137</f>
        <v>0</v>
      </c>
      <c r="B131" s="5" t="str">
        <f>IF('Registo de operações'!AJ137&gt;0,'Registo de operações'!AJ137,"")</f>
        <v/>
      </c>
      <c r="C131" s="5" t="str">
        <f>IF('Registo de operações'!AJ137&lt;0,'Registo de operações'!AJ137,"")</f>
        <v/>
      </c>
      <c r="D131" s="6" t="str">
        <f>IF('Registo de operações'!AG137&gt;0,'Registo de operações'!AG137,"")</f>
        <v/>
      </c>
      <c r="E131" s="8" t="str">
        <f>IF('Registo de operações'!AG137&lt;0,'Registo de operações'!AG137,"")</f>
        <v/>
      </c>
    </row>
    <row r="132" spans="1:5">
      <c r="A132" s="7">
        <f>'Registo de operações'!C138</f>
        <v>0</v>
      </c>
      <c r="B132" s="5" t="str">
        <f>IF('Registo de operações'!AJ138&gt;0,'Registo de operações'!AJ138,"")</f>
        <v/>
      </c>
      <c r="C132" s="5" t="str">
        <f>IF('Registo de operações'!AJ138&lt;0,'Registo de operações'!AJ138,"")</f>
        <v/>
      </c>
      <c r="D132" s="6" t="str">
        <f>IF('Registo de operações'!AG138&gt;0,'Registo de operações'!AG138,"")</f>
        <v/>
      </c>
      <c r="E132" s="8" t="str">
        <f>IF('Registo de operações'!AG138&lt;0,'Registo de operações'!AG138,"")</f>
        <v/>
      </c>
    </row>
    <row r="133" spans="1:5">
      <c r="A133" s="7">
        <f>'Registo de operações'!C139</f>
        <v>0</v>
      </c>
      <c r="B133" s="5" t="str">
        <f>IF('Registo de operações'!AJ139&gt;0,'Registo de operações'!AJ139,"")</f>
        <v/>
      </c>
      <c r="C133" s="5" t="str">
        <f>IF('Registo de operações'!AJ139&lt;0,'Registo de operações'!AJ139,"")</f>
        <v/>
      </c>
      <c r="D133" s="6" t="str">
        <f>IF('Registo de operações'!AG139&gt;0,'Registo de operações'!AG139,"")</f>
        <v/>
      </c>
      <c r="E133" s="8" t="str">
        <f>IF('Registo de operações'!AG139&lt;0,'Registo de operações'!AG139,"")</f>
        <v/>
      </c>
    </row>
    <row r="134" spans="1:5">
      <c r="A134" s="7">
        <f>'Registo de operações'!C140</f>
        <v>0</v>
      </c>
      <c r="B134" s="5" t="str">
        <f>IF('Registo de operações'!AJ140&gt;0,'Registo de operações'!AJ140,"")</f>
        <v/>
      </c>
      <c r="C134" s="5" t="str">
        <f>IF('Registo de operações'!AJ140&lt;0,'Registo de operações'!AJ140,"")</f>
        <v/>
      </c>
      <c r="D134" s="6" t="str">
        <f>IF('Registo de operações'!AG140&gt;0,'Registo de operações'!AG140,"")</f>
        <v/>
      </c>
      <c r="E134" s="8" t="str">
        <f>IF('Registo de operações'!AG140&lt;0,'Registo de operações'!AG140,"")</f>
        <v/>
      </c>
    </row>
    <row r="135" spans="1:5">
      <c r="A135" s="7">
        <f>'Registo de operações'!C141</f>
        <v>0</v>
      </c>
      <c r="B135" s="5" t="str">
        <f>IF('Registo de operações'!AJ141&gt;0,'Registo de operações'!AJ141,"")</f>
        <v/>
      </c>
      <c r="C135" s="5" t="str">
        <f>IF('Registo de operações'!AJ141&lt;0,'Registo de operações'!AJ141,"")</f>
        <v/>
      </c>
      <c r="D135" s="6" t="str">
        <f>IF('Registo de operações'!AG141&gt;0,'Registo de operações'!AG141,"")</f>
        <v/>
      </c>
      <c r="E135" s="8" t="str">
        <f>IF('Registo de operações'!AG141&lt;0,'Registo de operações'!AG141,"")</f>
        <v/>
      </c>
    </row>
    <row r="136" spans="1:5">
      <c r="A136" s="7">
        <f>'Registo de operações'!C142</f>
        <v>0</v>
      </c>
      <c r="B136" s="5" t="str">
        <f>IF('Registo de operações'!AJ142&gt;0,'Registo de operações'!AJ142,"")</f>
        <v/>
      </c>
      <c r="C136" s="5" t="str">
        <f>IF('Registo de operações'!AJ142&lt;0,'Registo de operações'!AJ142,"")</f>
        <v/>
      </c>
      <c r="D136" s="6" t="str">
        <f>IF('Registo de operações'!AG142&gt;0,'Registo de operações'!AG142,"")</f>
        <v/>
      </c>
      <c r="E136" s="8" t="str">
        <f>IF('Registo de operações'!AG142&lt;0,'Registo de operações'!AG142,"")</f>
        <v/>
      </c>
    </row>
    <row r="137" spans="1:5">
      <c r="A137" s="7">
        <f>'Registo de operações'!C143</f>
        <v>0</v>
      </c>
      <c r="B137" s="5" t="str">
        <f>IF('Registo de operações'!AJ143&gt;0,'Registo de operações'!AJ143,"")</f>
        <v/>
      </c>
      <c r="C137" s="5" t="str">
        <f>IF('Registo de operações'!AJ143&lt;0,'Registo de operações'!AJ143,"")</f>
        <v/>
      </c>
      <c r="D137" s="6" t="str">
        <f>IF('Registo de operações'!AG143&gt;0,'Registo de operações'!AG143,"")</f>
        <v/>
      </c>
      <c r="E137" s="8" t="str">
        <f>IF('Registo de operações'!AG143&lt;0,'Registo de operações'!AG143,"")</f>
        <v/>
      </c>
    </row>
    <row r="138" spans="1:5">
      <c r="A138" s="7">
        <f>'Registo de operações'!C144</f>
        <v>0</v>
      </c>
      <c r="B138" s="5" t="str">
        <f>IF('Registo de operações'!AJ144&gt;0,'Registo de operações'!AJ144,"")</f>
        <v/>
      </c>
      <c r="C138" s="5" t="str">
        <f>IF('Registo de operações'!AJ144&lt;0,'Registo de operações'!AJ144,"")</f>
        <v/>
      </c>
      <c r="D138" s="6" t="str">
        <f>IF('Registo de operações'!AG144&gt;0,'Registo de operações'!AG144,"")</f>
        <v/>
      </c>
      <c r="E138" s="8" t="str">
        <f>IF('Registo de operações'!AG144&lt;0,'Registo de operações'!AG144,"")</f>
        <v/>
      </c>
    </row>
    <row r="139" spans="1:5">
      <c r="A139" s="7">
        <f>'Registo de operações'!C145</f>
        <v>0</v>
      </c>
      <c r="B139" s="5" t="str">
        <f>IF('Registo de operações'!AJ145&gt;0,'Registo de operações'!AJ145,"")</f>
        <v/>
      </c>
      <c r="C139" s="5" t="str">
        <f>IF('Registo de operações'!AJ145&lt;0,'Registo de operações'!AJ145,"")</f>
        <v/>
      </c>
      <c r="D139" s="6" t="str">
        <f>IF('Registo de operações'!AG145&gt;0,'Registo de operações'!AG145,"")</f>
        <v/>
      </c>
      <c r="E139" s="8" t="str">
        <f>IF('Registo de operações'!AG145&lt;0,'Registo de operações'!AG145,"")</f>
        <v/>
      </c>
    </row>
    <row r="140" spans="1:5">
      <c r="A140" s="7">
        <f>'Registo de operações'!C146</f>
        <v>0</v>
      </c>
      <c r="B140" s="5" t="str">
        <f>IF('Registo de operações'!AJ146&gt;0,'Registo de operações'!AJ146,"")</f>
        <v/>
      </c>
      <c r="C140" s="5" t="str">
        <f>IF('Registo de operações'!AJ146&lt;0,'Registo de operações'!AJ146,"")</f>
        <v/>
      </c>
      <c r="D140" s="6" t="str">
        <f>IF('Registo de operações'!AG146&gt;0,'Registo de operações'!AG146,"")</f>
        <v/>
      </c>
      <c r="E140" s="8" t="str">
        <f>IF('Registo de operações'!AG146&lt;0,'Registo de operações'!AG146,"")</f>
        <v/>
      </c>
    </row>
    <row r="141" spans="1:5">
      <c r="A141" s="7">
        <f>'Registo de operações'!C147</f>
        <v>0</v>
      </c>
      <c r="B141" s="5" t="str">
        <f>IF('Registo de operações'!AJ147&gt;0,'Registo de operações'!AJ147,"")</f>
        <v/>
      </c>
      <c r="C141" s="5" t="str">
        <f>IF('Registo de operações'!AJ147&lt;0,'Registo de operações'!AJ147,"")</f>
        <v/>
      </c>
      <c r="D141" s="6" t="str">
        <f>IF('Registo de operações'!AG147&gt;0,'Registo de operações'!AG147,"")</f>
        <v/>
      </c>
      <c r="E141" s="8" t="str">
        <f>IF('Registo de operações'!AG147&lt;0,'Registo de operações'!AG147,"")</f>
        <v/>
      </c>
    </row>
    <row r="142" spans="1:5">
      <c r="A142" s="7">
        <f>'Registo de operações'!C148</f>
        <v>0</v>
      </c>
      <c r="B142" s="5" t="str">
        <f>IF('Registo de operações'!AJ148&gt;0,'Registo de operações'!AJ148,"")</f>
        <v/>
      </c>
      <c r="C142" s="5" t="str">
        <f>IF('Registo de operações'!AJ148&lt;0,'Registo de operações'!AJ148,"")</f>
        <v/>
      </c>
      <c r="D142" s="6" t="str">
        <f>IF('Registo de operações'!AG148&gt;0,'Registo de operações'!AG148,"")</f>
        <v/>
      </c>
      <c r="E142" s="8" t="str">
        <f>IF('Registo de operações'!AG148&lt;0,'Registo de operações'!AG148,"")</f>
        <v/>
      </c>
    </row>
    <row r="143" spans="1:5">
      <c r="A143" s="7">
        <f>'Registo de operações'!C149</f>
        <v>0</v>
      </c>
      <c r="B143" s="5" t="str">
        <f>IF('Registo de operações'!AJ149&gt;0,'Registo de operações'!AJ149,"")</f>
        <v/>
      </c>
      <c r="C143" s="5" t="str">
        <f>IF('Registo de operações'!AJ149&lt;0,'Registo de operações'!AJ149,"")</f>
        <v/>
      </c>
      <c r="D143" s="6" t="str">
        <f>IF('Registo de operações'!AG149&gt;0,'Registo de operações'!AG149,"")</f>
        <v/>
      </c>
      <c r="E143" s="8" t="str">
        <f>IF('Registo de operações'!AG149&lt;0,'Registo de operações'!AG149,"")</f>
        <v/>
      </c>
    </row>
    <row r="144" spans="1:5">
      <c r="A144" s="7">
        <f>'Registo de operações'!C150</f>
        <v>0</v>
      </c>
      <c r="B144" s="5" t="str">
        <f>IF('Registo de operações'!AJ150&gt;0,'Registo de operações'!AJ150,"")</f>
        <v/>
      </c>
      <c r="C144" s="5" t="str">
        <f>IF('Registo de operações'!AJ150&lt;0,'Registo de operações'!AJ150,"")</f>
        <v/>
      </c>
      <c r="D144" s="6" t="str">
        <f>IF('Registo de operações'!AG150&gt;0,'Registo de operações'!AG150,"")</f>
        <v/>
      </c>
      <c r="E144" s="8" t="str">
        <f>IF('Registo de operações'!AG150&lt;0,'Registo de operações'!AG150,"")</f>
        <v/>
      </c>
    </row>
    <row r="145" spans="1:5">
      <c r="A145" s="7">
        <f>'Registo de operações'!C151</f>
        <v>0</v>
      </c>
      <c r="B145" s="5" t="str">
        <f>IF('Registo de operações'!AJ151&gt;0,'Registo de operações'!AJ151,"")</f>
        <v/>
      </c>
      <c r="C145" s="5" t="str">
        <f>IF('Registo de operações'!AJ151&lt;0,'Registo de operações'!AJ151,"")</f>
        <v/>
      </c>
      <c r="D145" s="6" t="str">
        <f>IF('Registo de operações'!AG151&gt;0,'Registo de operações'!AG151,"")</f>
        <v/>
      </c>
      <c r="E145" s="8" t="str">
        <f>IF('Registo de operações'!AG151&lt;0,'Registo de operações'!AG151,"")</f>
        <v/>
      </c>
    </row>
    <row r="146" spans="1:5">
      <c r="A146" s="7">
        <f>'Registo de operações'!C152</f>
        <v>0</v>
      </c>
      <c r="B146" s="5" t="str">
        <f>IF('Registo de operações'!AJ152&gt;0,'Registo de operações'!AJ152,"")</f>
        <v/>
      </c>
      <c r="C146" s="5" t="str">
        <f>IF('Registo de operações'!AJ152&lt;0,'Registo de operações'!AJ152,"")</f>
        <v/>
      </c>
      <c r="D146" s="6" t="str">
        <f>IF('Registo de operações'!AG152&gt;0,'Registo de operações'!AG152,"")</f>
        <v/>
      </c>
      <c r="E146" s="8" t="str">
        <f>IF('Registo de operações'!AG152&lt;0,'Registo de operações'!AG152,"")</f>
        <v/>
      </c>
    </row>
    <row r="147" spans="1:5">
      <c r="A147" s="7">
        <f>'Registo de operações'!C153</f>
        <v>0</v>
      </c>
      <c r="B147" s="5" t="str">
        <f>IF('Registo de operações'!AJ153&gt;0,'Registo de operações'!AJ153,"")</f>
        <v/>
      </c>
      <c r="C147" s="5" t="str">
        <f>IF('Registo de operações'!AJ153&lt;0,'Registo de operações'!AJ153,"")</f>
        <v/>
      </c>
      <c r="D147" s="6" t="str">
        <f>IF('Registo de operações'!AG153&gt;0,'Registo de operações'!AG153,"")</f>
        <v/>
      </c>
      <c r="E147" s="8" t="str">
        <f>IF('Registo de operações'!AG153&lt;0,'Registo de operações'!AG153,"")</f>
        <v/>
      </c>
    </row>
    <row r="148" spans="1:5">
      <c r="A148" s="7">
        <f>'Registo de operações'!C154</f>
        <v>0</v>
      </c>
      <c r="B148" s="5" t="str">
        <f>IF('Registo de operações'!AJ154&gt;0,'Registo de operações'!AJ154,"")</f>
        <v/>
      </c>
      <c r="C148" s="5" t="str">
        <f>IF('Registo de operações'!AJ154&lt;0,'Registo de operações'!AJ154,"")</f>
        <v/>
      </c>
      <c r="D148" s="6" t="str">
        <f>IF('Registo de operações'!AG154&gt;0,'Registo de operações'!AG154,"")</f>
        <v/>
      </c>
      <c r="E148" s="8" t="str">
        <f>IF('Registo de operações'!AG154&lt;0,'Registo de operações'!AG154,"")</f>
        <v/>
      </c>
    </row>
    <row r="149" spans="1:5">
      <c r="A149" s="7">
        <f>'Registo de operações'!C155</f>
        <v>0</v>
      </c>
      <c r="B149" s="5" t="str">
        <f>IF('Registo de operações'!AJ155&gt;0,'Registo de operações'!AJ155,"")</f>
        <v/>
      </c>
      <c r="C149" s="5" t="str">
        <f>IF('Registo de operações'!AJ155&lt;0,'Registo de operações'!AJ155,"")</f>
        <v/>
      </c>
      <c r="D149" s="6" t="str">
        <f>IF('Registo de operações'!AG155&gt;0,'Registo de operações'!AG155,"")</f>
        <v/>
      </c>
      <c r="E149" s="8" t="str">
        <f>IF('Registo de operações'!AG155&lt;0,'Registo de operações'!AG155,"")</f>
        <v/>
      </c>
    </row>
    <row r="150" spans="1:5">
      <c r="A150" s="7">
        <f>'Registo de operações'!C156</f>
        <v>0</v>
      </c>
      <c r="B150" s="5" t="str">
        <f>IF('Registo de operações'!AJ156&gt;0,'Registo de operações'!AJ156,"")</f>
        <v/>
      </c>
      <c r="C150" s="5" t="str">
        <f>IF('Registo de operações'!AJ156&lt;0,'Registo de operações'!AJ156,"")</f>
        <v/>
      </c>
      <c r="D150" s="6" t="str">
        <f>IF('Registo de operações'!AG156&gt;0,'Registo de operações'!AG156,"")</f>
        <v/>
      </c>
      <c r="E150" s="8" t="str">
        <f>IF('Registo de operações'!AG156&lt;0,'Registo de operações'!AG156,"")</f>
        <v/>
      </c>
    </row>
    <row r="151" spans="1:5">
      <c r="A151" s="7">
        <f>'Registo de operações'!C157</f>
        <v>0</v>
      </c>
      <c r="B151" s="5" t="str">
        <f>IF('Registo de operações'!AJ157&gt;0,'Registo de operações'!AJ157,"")</f>
        <v/>
      </c>
      <c r="C151" s="5" t="str">
        <f>IF('Registo de operações'!AJ157&lt;0,'Registo de operações'!AJ157,"")</f>
        <v/>
      </c>
      <c r="D151" s="6" t="str">
        <f>IF('Registo de operações'!AG157&gt;0,'Registo de operações'!AG157,"")</f>
        <v/>
      </c>
      <c r="E151" s="8" t="str">
        <f>IF('Registo de operações'!AG157&lt;0,'Registo de operações'!AG157,"")</f>
        <v/>
      </c>
    </row>
    <row r="152" spans="1:5">
      <c r="A152" s="7">
        <f>'Registo de operações'!C158</f>
        <v>0</v>
      </c>
      <c r="B152" s="5" t="str">
        <f>IF('Registo de operações'!AJ158&gt;0,'Registo de operações'!AJ158,"")</f>
        <v/>
      </c>
      <c r="C152" s="5" t="str">
        <f>IF('Registo de operações'!AJ158&lt;0,'Registo de operações'!AJ158,"")</f>
        <v/>
      </c>
      <c r="D152" s="6" t="str">
        <f>IF('Registo de operações'!AG158&gt;0,'Registo de operações'!AG158,"")</f>
        <v/>
      </c>
      <c r="E152" s="8" t="str">
        <f>IF('Registo de operações'!AG158&lt;0,'Registo de operações'!AG158,"")</f>
        <v/>
      </c>
    </row>
    <row r="153" spans="1:5">
      <c r="A153" s="7">
        <f>'Registo de operações'!C159</f>
        <v>0</v>
      </c>
      <c r="B153" s="5" t="str">
        <f>IF('Registo de operações'!AJ159&gt;0,'Registo de operações'!AJ159,"")</f>
        <v/>
      </c>
      <c r="C153" s="5" t="str">
        <f>IF('Registo de operações'!AJ159&lt;0,'Registo de operações'!AJ159,"")</f>
        <v/>
      </c>
      <c r="D153" s="6" t="str">
        <f>IF('Registo de operações'!AG159&gt;0,'Registo de operações'!AG159,"")</f>
        <v/>
      </c>
      <c r="E153" s="8" t="str">
        <f>IF('Registo de operações'!AG159&lt;0,'Registo de operações'!AG159,"")</f>
        <v/>
      </c>
    </row>
    <row r="154" spans="1:5">
      <c r="A154" s="7">
        <f>'Registo de operações'!C160</f>
        <v>0</v>
      </c>
      <c r="B154" s="5" t="str">
        <f>IF('Registo de operações'!AJ160&gt;0,'Registo de operações'!AJ160,"")</f>
        <v/>
      </c>
      <c r="C154" s="5" t="str">
        <f>IF('Registo de operações'!AJ160&lt;0,'Registo de operações'!AJ160,"")</f>
        <v/>
      </c>
      <c r="D154" s="6" t="str">
        <f>IF('Registo de operações'!AG160&gt;0,'Registo de operações'!AG160,"")</f>
        <v/>
      </c>
      <c r="E154" s="8" t="str">
        <f>IF('Registo de operações'!AG160&lt;0,'Registo de operações'!AG160,"")</f>
        <v/>
      </c>
    </row>
    <row r="155" spans="1:5">
      <c r="A155" s="7">
        <f>'Registo de operações'!C161</f>
        <v>0</v>
      </c>
      <c r="B155" s="5" t="str">
        <f>IF('Registo de operações'!AJ161&gt;0,'Registo de operações'!AJ161,"")</f>
        <v/>
      </c>
      <c r="C155" s="5" t="str">
        <f>IF('Registo de operações'!AJ161&lt;0,'Registo de operações'!AJ161,"")</f>
        <v/>
      </c>
      <c r="D155" s="6" t="str">
        <f>IF('Registo de operações'!AG161&gt;0,'Registo de operações'!AG161,"")</f>
        <v/>
      </c>
      <c r="E155" s="8" t="str">
        <f>IF('Registo de operações'!AG161&lt;0,'Registo de operações'!AG161,"")</f>
        <v/>
      </c>
    </row>
    <row r="156" spans="1:5">
      <c r="A156" s="7">
        <f>'Registo de operações'!C162</f>
        <v>0</v>
      </c>
      <c r="B156" s="5" t="str">
        <f>IF('Registo de operações'!AJ162&gt;0,'Registo de operações'!AJ162,"")</f>
        <v/>
      </c>
      <c r="C156" s="5" t="str">
        <f>IF('Registo de operações'!AJ162&lt;0,'Registo de operações'!AJ162,"")</f>
        <v/>
      </c>
      <c r="D156" s="6" t="str">
        <f>IF('Registo de operações'!AG162&gt;0,'Registo de operações'!AG162,"")</f>
        <v/>
      </c>
      <c r="E156" s="8" t="str">
        <f>IF('Registo de operações'!AG162&lt;0,'Registo de operações'!AG162,"")</f>
        <v/>
      </c>
    </row>
    <row r="157" spans="1:5">
      <c r="A157" s="7">
        <f>'Registo de operações'!C163</f>
        <v>0</v>
      </c>
      <c r="B157" s="5" t="str">
        <f>IF('Registo de operações'!AJ163&gt;0,'Registo de operações'!AJ163,"")</f>
        <v/>
      </c>
      <c r="C157" s="5" t="str">
        <f>IF('Registo de operações'!AJ163&lt;0,'Registo de operações'!AJ163,"")</f>
        <v/>
      </c>
      <c r="D157" s="6" t="str">
        <f>IF('Registo de operações'!AG163&gt;0,'Registo de operações'!AG163,"")</f>
        <v/>
      </c>
      <c r="E157" s="8" t="str">
        <f>IF('Registo de operações'!AG163&lt;0,'Registo de operações'!AG163,"")</f>
        <v/>
      </c>
    </row>
    <row r="158" spans="1:5">
      <c r="A158" s="7">
        <f>'Registo de operações'!C164</f>
        <v>0</v>
      </c>
      <c r="B158" s="5" t="str">
        <f>IF('Registo de operações'!AJ164&gt;0,'Registo de operações'!AJ164,"")</f>
        <v/>
      </c>
      <c r="C158" s="5" t="str">
        <f>IF('Registo de operações'!AJ164&lt;0,'Registo de operações'!AJ164,"")</f>
        <v/>
      </c>
      <c r="D158" s="6" t="str">
        <f>IF('Registo de operações'!AG164&gt;0,'Registo de operações'!AG164,"")</f>
        <v/>
      </c>
      <c r="E158" s="8" t="str">
        <f>IF('Registo de operações'!AG164&lt;0,'Registo de operações'!AG164,"")</f>
        <v/>
      </c>
    </row>
    <row r="159" spans="1:5">
      <c r="A159" s="7">
        <f>'Registo de operações'!C165</f>
        <v>0</v>
      </c>
      <c r="B159" s="5" t="str">
        <f>IF('Registo de operações'!AJ165&gt;0,'Registo de operações'!AJ165,"")</f>
        <v/>
      </c>
      <c r="C159" s="5" t="str">
        <f>IF('Registo de operações'!AJ165&lt;0,'Registo de operações'!AJ165,"")</f>
        <v/>
      </c>
      <c r="D159" s="6" t="str">
        <f>IF('Registo de operações'!AG165&gt;0,'Registo de operações'!AG165,"")</f>
        <v/>
      </c>
      <c r="E159" s="8" t="str">
        <f>IF('Registo de operações'!AG165&lt;0,'Registo de operações'!AG165,"")</f>
        <v/>
      </c>
    </row>
    <row r="160" spans="1:5">
      <c r="A160" s="7">
        <f>'Registo de operações'!C166</f>
        <v>0</v>
      </c>
      <c r="B160" s="5" t="str">
        <f>IF('Registo de operações'!AJ166&gt;0,'Registo de operações'!AJ166,"")</f>
        <v/>
      </c>
      <c r="C160" s="5" t="str">
        <f>IF('Registo de operações'!AJ166&lt;0,'Registo de operações'!AJ166,"")</f>
        <v/>
      </c>
      <c r="D160" s="6" t="str">
        <f>IF('Registo de operações'!AG166&gt;0,'Registo de operações'!AG166,"")</f>
        <v/>
      </c>
      <c r="E160" s="8" t="str">
        <f>IF('Registo de operações'!AG166&lt;0,'Registo de operações'!AG166,"")</f>
        <v/>
      </c>
    </row>
    <row r="161" spans="1:5">
      <c r="A161" s="7">
        <f>'Registo de operações'!C167</f>
        <v>0</v>
      </c>
      <c r="B161" s="5" t="str">
        <f>IF('Registo de operações'!AJ167&gt;0,'Registo de operações'!AJ167,"")</f>
        <v/>
      </c>
      <c r="C161" s="5" t="str">
        <f>IF('Registo de operações'!AJ167&lt;0,'Registo de operações'!AJ167,"")</f>
        <v/>
      </c>
      <c r="D161" s="6" t="str">
        <f>IF('Registo de operações'!AG167&gt;0,'Registo de operações'!AG167,"")</f>
        <v/>
      </c>
      <c r="E161" s="8" t="str">
        <f>IF('Registo de operações'!AG167&lt;0,'Registo de operações'!AG167,"")</f>
        <v/>
      </c>
    </row>
    <row r="162" spans="1:5">
      <c r="A162" s="7">
        <f>'Registo de operações'!C168</f>
        <v>0</v>
      </c>
      <c r="B162" s="5" t="str">
        <f>IF('Registo de operações'!AJ168&gt;0,'Registo de operações'!AJ168,"")</f>
        <v/>
      </c>
      <c r="C162" s="5" t="str">
        <f>IF('Registo de operações'!AJ168&lt;0,'Registo de operações'!AJ168,"")</f>
        <v/>
      </c>
      <c r="D162" s="6" t="str">
        <f>IF('Registo de operações'!AG168&gt;0,'Registo de operações'!AG168,"")</f>
        <v/>
      </c>
      <c r="E162" s="8" t="str">
        <f>IF('Registo de operações'!AG168&lt;0,'Registo de operações'!AG168,"")</f>
        <v/>
      </c>
    </row>
    <row r="163" spans="1:5">
      <c r="A163" s="7">
        <f>'Registo de operações'!C169</f>
        <v>0</v>
      </c>
      <c r="B163" s="5" t="str">
        <f>IF('Registo de operações'!AJ169&gt;0,'Registo de operações'!AJ169,"")</f>
        <v/>
      </c>
      <c r="C163" s="5" t="str">
        <f>IF('Registo de operações'!AJ169&lt;0,'Registo de operações'!AJ169,"")</f>
        <v/>
      </c>
      <c r="D163" s="6" t="str">
        <f>IF('Registo de operações'!AG169&gt;0,'Registo de operações'!AG169,"")</f>
        <v/>
      </c>
      <c r="E163" s="8" t="str">
        <f>IF('Registo de operações'!AG169&lt;0,'Registo de operações'!AG169,"")</f>
        <v/>
      </c>
    </row>
    <row r="164" spans="1:5">
      <c r="A164" s="7">
        <f>'Registo de operações'!C170</f>
        <v>0</v>
      </c>
      <c r="B164" s="5" t="str">
        <f>IF('Registo de operações'!AJ170&gt;0,'Registo de operações'!AJ170,"")</f>
        <v/>
      </c>
      <c r="C164" s="5" t="str">
        <f>IF('Registo de operações'!AJ170&lt;0,'Registo de operações'!AJ170,"")</f>
        <v/>
      </c>
      <c r="D164" s="6" t="str">
        <f>IF('Registo de operações'!AG170&gt;0,'Registo de operações'!AG170,"")</f>
        <v/>
      </c>
      <c r="E164" s="8" t="str">
        <f>IF('Registo de operações'!AG170&lt;0,'Registo de operações'!AG170,"")</f>
        <v/>
      </c>
    </row>
    <row r="165" spans="1:5">
      <c r="A165" s="7">
        <f>'Registo de operações'!C171</f>
        <v>0</v>
      </c>
      <c r="B165" s="5" t="str">
        <f>IF('Registo de operações'!AJ171&gt;0,'Registo de operações'!AJ171,"")</f>
        <v/>
      </c>
      <c r="C165" s="5" t="str">
        <f>IF('Registo de operações'!AJ171&lt;0,'Registo de operações'!AJ171,"")</f>
        <v/>
      </c>
      <c r="D165" s="6" t="str">
        <f>IF('Registo de operações'!AG171&gt;0,'Registo de operações'!AG171,"")</f>
        <v/>
      </c>
      <c r="E165" s="8" t="str">
        <f>IF('Registo de operações'!AG171&lt;0,'Registo de operações'!AG171,"")</f>
        <v/>
      </c>
    </row>
    <row r="166" spans="1:5">
      <c r="A166" s="7">
        <f>'Registo de operações'!C172</f>
        <v>0</v>
      </c>
      <c r="B166" s="5" t="str">
        <f>IF('Registo de operações'!AJ172&gt;0,'Registo de operações'!AJ172,"")</f>
        <v/>
      </c>
      <c r="C166" s="5" t="str">
        <f>IF('Registo de operações'!AJ172&lt;0,'Registo de operações'!AJ172,"")</f>
        <v/>
      </c>
      <c r="D166" s="6" t="str">
        <f>IF('Registo de operações'!AG172&gt;0,'Registo de operações'!AG172,"")</f>
        <v/>
      </c>
      <c r="E166" s="8" t="str">
        <f>IF('Registo de operações'!AG172&lt;0,'Registo de operações'!AG172,"")</f>
        <v/>
      </c>
    </row>
    <row r="167" spans="1:5">
      <c r="A167" s="7">
        <f>'Registo de operações'!C173</f>
        <v>0</v>
      </c>
      <c r="B167" s="5" t="str">
        <f>IF('Registo de operações'!AJ173&gt;0,'Registo de operações'!AJ173,"")</f>
        <v/>
      </c>
      <c r="C167" s="5" t="str">
        <f>IF('Registo de operações'!AJ173&lt;0,'Registo de operações'!AJ173,"")</f>
        <v/>
      </c>
      <c r="D167" s="6" t="str">
        <f>IF('Registo de operações'!AG173&gt;0,'Registo de operações'!AG173,"")</f>
        <v/>
      </c>
      <c r="E167" s="8" t="str">
        <f>IF('Registo de operações'!AG173&lt;0,'Registo de operações'!AG173,"")</f>
        <v/>
      </c>
    </row>
    <row r="168" spans="1:5">
      <c r="A168" s="7">
        <f>'Registo de operações'!C174</f>
        <v>0</v>
      </c>
      <c r="B168" s="5" t="str">
        <f>IF('Registo de operações'!AJ174&gt;0,'Registo de operações'!AJ174,"")</f>
        <v/>
      </c>
      <c r="C168" s="5" t="str">
        <f>IF('Registo de operações'!AJ174&lt;0,'Registo de operações'!AJ174,"")</f>
        <v/>
      </c>
      <c r="D168" s="6" t="str">
        <f>IF('Registo de operações'!AG174&gt;0,'Registo de operações'!AG174,"")</f>
        <v/>
      </c>
      <c r="E168" s="8" t="str">
        <f>IF('Registo de operações'!AG174&lt;0,'Registo de operações'!AG174,"")</f>
        <v/>
      </c>
    </row>
    <row r="169" spans="1:5">
      <c r="A169" s="7">
        <f>'Registo de operações'!C175</f>
        <v>0</v>
      </c>
      <c r="B169" s="5" t="str">
        <f>IF('Registo de operações'!AJ175&gt;0,'Registo de operações'!AJ175,"")</f>
        <v/>
      </c>
      <c r="C169" s="5" t="str">
        <f>IF('Registo de operações'!AJ175&lt;0,'Registo de operações'!AJ175,"")</f>
        <v/>
      </c>
      <c r="D169" s="6" t="str">
        <f>IF('Registo de operações'!AG175&gt;0,'Registo de operações'!AG175,"")</f>
        <v/>
      </c>
      <c r="E169" s="8" t="str">
        <f>IF('Registo de operações'!AG175&lt;0,'Registo de operações'!AG175,"")</f>
        <v/>
      </c>
    </row>
    <row r="170" spans="1:5">
      <c r="A170" s="7">
        <f>'Registo de operações'!C176</f>
        <v>0</v>
      </c>
      <c r="B170" s="5" t="str">
        <f>IF('Registo de operações'!AJ176&gt;0,'Registo de operações'!AJ176,"")</f>
        <v/>
      </c>
      <c r="C170" s="5" t="str">
        <f>IF('Registo de operações'!AJ176&lt;0,'Registo de operações'!AJ176,"")</f>
        <v/>
      </c>
      <c r="D170" s="6" t="str">
        <f>IF('Registo de operações'!AG176&gt;0,'Registo de operações'!AG176,"")</f>
        <v/>
      </c>
      <c r="E170" s="8" t="str">
        <f>IF('Registo de operações'!AG176&lt;0,'Registo de operações'!AG176,"")</f>
        <v/>
      </c>
    </row>
    <row r="171" spans="1:5">
      <c r="A171" s="7">
        <f>'Registo de operações'!C177</f>
        <v>0</v>
      </c>
      <c r="B171" s="5" t="str">
        <f>IF('Registo de operações'!AJ177&gt;0,'Registo de operações'!AJ177,"")</f>
        <v/>
      </c>
      <c r="C171" s="5" t="str">
        <f>IF('Registo de operações'!AJ177&lt;0,'Registo de operações'!AJ177,"")</f>
        <v/>
      </c>
      <c r="D171" s="6" t="str">
        <f>IF('Registo de operações'!AG177&gt;0,'Registo de operações'!AG177,"")</f>
        <v/>
      </c>
      <c r="E171" s="8" t="str">
        <f>IF('Registo de operações'!AG177&lt;0,'Registo de operações'!AG177,"")</f>
        <v/>
      </c>
    </row>
    <row r="172" spans="1:5">
      <c r="A172" s="7">
        <f>'Registo de operações'!C178</f>
        <v>0</v>
      </c>
      <c r="B172" s="5" t="str">
        <f>IF('Registo de operações'!AJ178&gt;0,'Registo de operações'!AJ178,"")</f>
        <v/>
      </c>
      <c r="C172" s="5" t="str">
        <f>IF('Registo de operações'!AJ178&lt;0,'Registo de operações'!AJ178,"")</f>
        <v/>
      </c>
      <c r="D172" s="6" t="str">
        <f>IF('Registo de operações'!AG178&gt;0,'Registo de operações'!AG178,"")</f>
        <v/>
      </c>
      <c r="E172" s="8" t="str">
        <f>IF('Registo de operações'!AG178&lt;0,'Registo de operações'!AG178,"")</f>
        <v/>
      </c>
    </row>
    <row r="173" spans="1:5">
      <c r="A173" s="7">
        <f>'Registo de operações'!C179</f>
        <v>0</v>
      </c>
      <c r="B173" s="5" t="str">
        <f>IF('Registo de operações'!AJ179&gt;0,'Registo de operações'!AJ179,"")</f>
        <v/>
      </c>
      <c r="C173" s="5" t="str">
        <f>IF('Registo de operações'!AJ179&lt;0,'Registo de operações'!AJ179,"")</f>
        <v/>
      </c>
      <c r="D173" s="6" t="str">
        <f>IF('Registo de operações'!AG179&gt;0,'Registo de operações'!AG179,"")</f>
        <v/>
      </c>
      <c r="E173" s="8" t="str">
        <f>IF('Registo de operações'!AG179&lt;0,'Registo de operações'!AG179,"")</f>
        <v/>
      </c>
    </row>
    <row r="174" spans="1:5">
      <c r="A174" s="7">
        <f>'Registo de operações'!C180</f>
        <v>0</v>
      </c>
      <c r="B174" s="5" t="str">
        <f>IF('Registo de operações'!AJ180&gt;0,'Registo de operações'!AJ180,"")</f>
        <v/>
      </c>
      <c r="C174" s="5" t="str">
        <f>IF('Registo de operações'!AJ180&lt;0,'Registo de operações'!AJ180,"")</f>
        <v/>
      </c>
      <c r="D174" s="6" t="str">
        <f>IF('Registo de operações'!AG180&gt;0,'Registo de operações'!AG180,"")</f>
        <v/>
      </c>
      <c r="E174" s="8" t="str">
        <f>IF('Registo de operações'!AG180&lt;0,'Registo de operações'!AG180,"")</f>
        <v/>
      </c>
    </row>
    <row r="175" spans="1:5">
      <c r="A175" s="7">
        <f>'Registo de operações'!C181</f>
        <v>0</v>
      </c>
      <c r="B175" s="5" t="str">
        <f>IF('Registo de operações'!AJ181&gt;0,'Registo de operações'!AJ181,"")</f>
        <v/>
      </c>
      <c r="C175" s="5" t="str">
        <f>IF('Registo de operações'!AJ181&lt;0,'Registo de operações'!AJ181,"")</f>
        <v/>
      </c>
      <c r="D175" s="6" t="str">
        <f>IF('Registo de operações'!AG181&gt;0,'Registo de operações'!AG181,"")</f>
        <v/>
      </c>
      <c r="E175" s="8" t="str">
        <f>IF('Registo de operações'!AG181&lt;0,'Registo de operações'!AG181,"")</f>
        <v/>
      </c>
    </row>
    <row r="176" spans="1:5">
      <c r="A176" s="7">
        <f>'Registo de operações'!C182</f>
        <v>0</v>
      </c>
      <c r="B176" s="5" t="str">
        <f>IF('Registo de operações'!AJ182&gt;0,'Registo de operações'!AJ182,"")</f>
        <v/>
      </c>
      <c r="C176" s="5" t="str">
        <f>IF('Registo de operações'!AJ182&lt;0,'Registo de operações'!AJ182,"")</f>
        <v/>
      </c>
      <c r="D176" s="6" t="str">
        <f>IF('Registo de operações'!AG182&gt;0,'Registo de operações'!AG182,"")</f>
        <v/>
      </c>
      <c r="E176" s="8" t="str">
        <f>IF('Registo de operações'!AG182&lt;0,'Registo de operações'!AG182,"")</f>
        <v/>
      </c>
    </row>
    <row r="177" spans="1:5">
      <c r="A177" s="7">
        <f>'Registo de operações'!C183</f>
        <v>0</v>
      </c>
      <c r="B177" s="5" t="str">
        <f>IF('Registo de operações'!AJ183&gt;0,'Registo de operações'!AJ183,"")</f>
        <v/>
      </c>
      <c r="C177" s="5" t="str">
        <f>IF('Registo de operações'!AJ183&lt;0,'Registo de operações'!AJ183,"")</f>
        <v/>
      </c>
      <c r="D177" s="6" t="str">
        <f>IF('Registo de operações'!AG183&gt;0,'Registo de operações'!AG183,"")</f>
        <v/>
      </c>
      <c r="E177" s="8" t="str">
        <f>IF('Registo de operações'!AG183&lt;0,'Registo de operações'!AG183,"")</f>
        <v/>
      </c>
    </row>
    <row r="178" spans="1:5">
      <c r="A178" s="7">
        <f>'Registo de operações'!C184</f>
        <v>0</v>
      </c>
      <c r="B178" s="5" t="str">
        <f>IF('Registo de operações'!AJ184&gt;0,'Registo de operações'!AJ184,"")</f>
        <v/>
      </c>
      <c r="C178" s="5" t="str">
        <f>IF('Registo de operações'!AJ184&lt;0,'Registo de operações'!AJ184,"")</f>
        <v/>
      </c>
      <c r="D178" s="6" t="str">
        <f>IF('Registo de operações'!AG184&gt;0,'Registo de operações'!AG184,"")</f>
        <v/>
      </c>
      <c r="E178" s="8" t="str">
        <f>IF('Registo de operações'!AG184&lt;0,'Registo de operações'!AG184,"")</f>
        <v/>
      </c>
    </row>
    <row r="179" spans="1:5">
      <c r="A179" s="7">
        <f>'Registo de operações'!C185</f>
        <v>0</v>
      </c>
      <c r="B179" s="5" t="str">
        <f>IF('Registo de operações'!AJ185&gt;0,'Registo de operações'!AJ185,"")</f>
        <v/>
      </c>
      <c r="C179" s="5" t="str">
        <f>IF('Registo de operações'!AJ185&lt;0,'Registo de operações'!AJ185,"")</f>
        <v/>
      </c>
      <c r="D179" s="6" t="str">
        <f>IF('Registo de operações'!AG185&gt;0,'Registo de operações'!AG185,"")</f>
        <v/>
      </c>
      <c r="E179" s="8" t="str">
        <f>IF('Registo de operações'!AG185&lt;0,'Registo de operações'!AG185,"")</f>
        <v/>
      </c>
    </row>
    <row r="180" spans="1:5">
      <c r="A180" s="7">
        <f>'Registo de operações'!C186</f>
        <v>0</v>
      </c>
      <c r="B180" s="5" t="str">
        <f>IF('Registo de operações'!AJ186&gt;0,'Registo de operações'!AJ186,"")</f>
        <v/>
      </c>
      <c r="C180" s="5" t="str">
        <f>IF('Registo de operações'!AJ186&lt;0,'Registo de operações'!AJ186,"")</f>
        <v/>
      </c>
      <c r="D180" s="6" t="str">
        <f>IF('Registo de operações'!AG186&gt;0,'Registo de operações'!AG186,"")</f>
        <v/>
      </c>
      <c r="E180" s="8" t="str">
        <f>IF('Registo de operações'!AG186&lt;0,'Registo de operações'!AG186,"")</f>
        <v/>
      </c>
    </row>
    <row r="181" spans="1:5">
      <c r="A181" s="7">
        <f>'Registo de operações'!C187</f>
        <v>0</v>
      </c>
      <c r="B181" s="5" t="str">
        <f>IF('Registo de operações'!AJ187&gt;0,'Registo de operações'!AJ187,"")</f>
        <v/>
      </c>
      <c r="C181" s="5" t="str">
        <f>IF('Registo de operações'!AJ187&lt;0,'Registo de operações'!AJ187,"")</f>
        <v/>
      </c>
      <c r="D181" s="6" t="str">
        <f>IF('Registo de operações'!AG187&gt;0,'Registo de operações'!AG187,"")</f>
        <v/>
      </c>
      <c r="E181" s="8" t="str">
        <f>IF('Registo de operações'!AG187&lt;0,'Registo de operações'!AG187,"")</f>
        <v/>
      </c>
    </row>
    <row r="182" spans="1:5">
      <c r="A182" s="7">
        <f>'Registo de operações'!C188</f>
        <v>0</v>
      </c>
      <c r="B182" s="5" t="str">
        <f>IF('Registo de operações'!AJ188&gt;0,'Registo de operações'!AJ188,"")</f>
        <v/>
      </c>
      <c r="C182" s="5" t="str">
        <f>IF('Registo de operações'!AJ188&lt;0,'Registo de operações'!AJ188,"")</f>
        <v/>
      </c>
      <c r="D182" s="6" t="str">
        <f>IF('Registo de operações'!AG188&gt;0,'Registo de operações'!AG188,"")</f>
        <v/>
      </c>
      <c r="E182" s="8" t="str">
        <f>IF('Registo de operações'!AG188&lt;0,'Registo de operações'!AG188,"")</f>
        <v/>
      </c>
    </row>
    <row r="183" spans="1:5">
      <c r="A183" s="7">
        <f>'Registo de operações'!C189</f>
        <v>0</v>
      </c>
      <c r="B183" s="5" t="str">
        <f>IF('Registo de operações'!AJ189&gt;0,'Registo de operações'!AJ189,"")</f>
        <v/>
      </c>
      <c r="C183" s="5" t="str">
        <f>IF('Registo de operações'!AJ189&lt;0,'Registo de operações'!AJ189,"")</f>
        <v/>
      </c>
      <c r="D183" s="6" t="str">
        <f>IF('Registo de operações'!AG189&gt;0,'Registo de operações'!AG189,"")</f>
        <v/>
      </c>
      <c r="E183" s="8" t="str">
        <f>IF('Registo de operações'!AG189&lt;0,'Registo de operações'!AG189,"")</f>
        <v/>
      </c>
    </row>
    <row r="184" spans="1:5">
      <c r="A184" s="7">
        <f>'Registo de operações'!C190</f>
        <v>0</v>
      </c>
      <c r="B184" s="5" t="str">
        <f>IF('Registo de operações'!AJ190&gt;0,'Registo de operações'!AJ190,"")</f>
        <v/>
      </c>
      <c r="C184" s="5" t="str">
        <f>IF('Registo de operações'!AJ190&lt;0,'Registo de operações'!AJ190,"")</f>
        <v/>
      </c>
      <c r="D184" s="6" t="str">
        <f>IF('Registo de operações'!AG190&gt;0,'Registo de operações'!AG190,"")</f>
        <v/>
      </c>
      <c r="E184" s="8" t="str">
        <f>IF('Registo de operações'!AG190&lt;0,'Registo de operações'!AG190,"")</f>
        <v/>
      </c>
    </row>
    <row r="185" spans="1:5">
      <c r="A185" s="7">
        <f>'Registo de operações'!C191</f>
        <v>0</v>
      </c>
      <c r="B185" s="5" t="str">
        <f>IF('Registo de operações'!AJ191&gt;0,'Registo de operações'!AJ191,"")</f>
        <v/>
      </c>
      <c r="C185" s="5" t="str">
        <f>IF('Registo de operações'!AJ191&lt;0,'Registo de operações'!AJ191,"")</f>
        <v/>
      </c>
      <c r="D185" s="6" t="str">
        <f>IF('Registo de operações'!AG191&gt;0,'Registo de operações'!AG191,"")</f>
        <v/>
      </c>
      <c r="E185" s="8" t="str">
        <f>IF('Registo de operações'!AG191&lt;0,'Registo de operações'!AG191,"")</f>
        <v/>
      </c>
    </row>
    <row r="186" spans="1:5">
      <c r="A186" s="7">
        <f>'Registo de operações'!C192</f>
        <v>0</v>
      </c>
      <c r="B186" s="5" t="str">
        <f>IF('Registo de operações'!AJ192&gt;0,'Registo de operações'!AJ192,"")</f>
        <v/>
      </c>
      <c r="C186" s="5" t="str">
        <f>IF('Registo de operações'!AJ192&lt;0,'Registo de operações'!AJ192,"")</f>
        <v/>
      </c>
      <c r="D186" s="6" t="str">
        <f>IF('Registo de operações'!AG192&gt;0,'Registo de operações'!AG192,"")</f>
        <v/>
      </c>
      <c r="E186" s="8" t="str">
        <f>IF('Registo de operações'!AG192&lt;0,'Registo de operações'!AG192,"")</f>
        <v/>
      </c>
    </row>
    <row r="187" spans="1:5">
      <c r="A187" s="7">
        <f>'Registo de operações'!C193</f>
        <v>0</v>
      </c>
      <c r="B187" s="5" t="str">
        <f>IF('Registo de operações'!AJ193&gt;0,'Registo de operações'!AJ193,"")</f>
        <v/>
      </c>
      <c r="C187" s="5" t="str">
        <f>IF('Registo de operações'!AJ193&lt;0,'Registo de operações'!AJ193,"")</f>
        <v/>
      </c>
      <c r="D187" s="6" t="str">
        <f>IF('Registo de operações'!AG193&gt;0,'Registo de operações'!AG193,"")</f>
        <v/>
      </c>
      <c r="E187" s="8" t="str">
        <f>IF('Registo de operações'!AG193&lt;0,'Registo de operações'!AG193,"")</f>
        <v/>
      </c>
    </row>
    <row r="188" spans="1:5">
      <c r="A188" s="7">
        <f>'Registo de operações'!C194</f>
        <v>0</v>
      </c>
      <c r="B188" s="5" t="str">
        <f>IF('Registo de operações'!AJ194&gt;0,'Registo de operações'!AJ194,"")</f>
        <v/>
      </c>
      <c r="C188" s="5" t="str">
        <f>IF('Registo de operações'!AJ194&lt;0,'Registo de operações'!AJ194,"")</f>
        <v/>
      </c>
      <c r="D188" s="6" t="str">
        <f>IF('Registo de operações'!AG194&gt;0,'Registo de operações'!AG194,"")</f>
        <v/>
      </c>
      <c r="E188" s="8" t="str">
        <f>IF('Registo de operações'!AG194&lt;0,'Registo de operações'!AG194,"")</f>
        <v/>
      </c>
    </row>
    <row r="189" spans="1:5">
      <c r="A189" s="7">
        <f>'Registo de operações'!C195</f>
        <v>0</v>
      </c>
      <c r="B189" s="5" t="str">
        <f>IF('Registo de operações'!AJ195&gt;0,'Registo de operações'!AJ195,"")</f>
        <v/>
      </c>
      <c r="C189" s="5" t="str">
        <f>IF('Registo de operações'!AJ195&lt;0,'Registo de operações'!AJ195,"")</f>
        <v/>
      </c>
      <c r="D189" s="6" t="str">
        <f>IF('Registo de operações'!AG195&gt;0,'Registo de operações'!AG195,"")</f>
        <v/>
      </c>
      <c r="E189" s="8" t="str">
        <f>IF('Registo de operações'!AG195&lt;0,'Registo de operações'!AG195,"")</f>
        <v/>
      </c>
    </row>
    <row r="190" spans="1:5">
      <c r="A190" s="7">
        <f>'Registo de operações'!C196</f>
        <v>0</v>
      </c>
      <c r="B190" s="5" t="str">
        <f>IF('Registo de operações'!AJ196&gt;0,'Registo de operações'!AJ196,"")</f>
        <v/>
      </c>
      <c r="C190" s="5" t="str">
        <f>IF('Registo de operações'!AJ196&lt;0,'Registo de operações'!AJ196,"")</f>
        <v/>
      </c>
      <c r="D190" s="6" t="str">
        <f>IF('Registo de operações'!AG196&gt;0,'Registo de operações'!AG196,"")</f>
        <v/>
      </c>
      <c r="E190" s="8" t="str">
        <f>IF('Registo de operações'!AG196&lt;0,'Registo de operações'!AG196,"")</f>
        <v/>
      </c>
    </row>
    <row r="191" spans="1:5">
      <c r="A191" s="7">
        <f>'Registo de operações'!C197</f>
        <v>0</v>
      </c>
      <c r="B191" s="5" t="str">
        <f>IF('Registo de operações'!AJ197&gt;0,'Registo de operações'!AJ197,"")</f>
        <v/>
      </c>
      <c r="C191" s="5" t="str">
        <f>IF('Registo de operações'!AJ197&lt;0,'Registo de operações'!AJ197,"")</f>
        <v/>
      </c>
      <c r="D191" s="6" t="str">
        <f>IF('Registo de operações'!AG197&gt;0,'Registo de operações'!AG197,"")</f>
        <v/>
      </c>
      <c r="E191" s="8" t="str">
        <f>IF('Registo de operações'!AG197&lt;0,'Registo de operações'!AG197,"")</f>
        <v/>
      </c>
    </row>
    <row r="192" spans="1:5">
      <c r="A192" s="7">
        <f>'Registo de operações'!C198</f>
        <v>0</v>
      </c>
      <c r="B192" s="5" t="str">
        <f>IF('Registo de operações'!AJ198&gt;0,'Registo de operações'!AJ198,"")</f>
        <v/>
      </c>
      <c r="C192" s="5" t="str">
        <f>IF('Registo de operações'!AJ198&lt;0,'Registo de operações'!AJ198,"")</f>
        <v/>
      </c>
      <c r="D192" s="6" t="str">
        <f>IF('Registo de operações'!AG198&gt;0,'Registo de operações'!AG198,"")</f>
        <v/>
      </c>
      <c r="E192" s="8" t="str">
        <f>IF('Registo de operações'!AG198&lt;0,'Registo de operações'!AG198,"")</f>
        <v/>
      </c>
    </row>
    <row r="193" spans="1:5">
      <c r="A193" s="7">
        <f>'Registo de operações'!C199</f>
        <v>0</v>
      </c>
      <c r="B193" s="5" t="str">
        <f>IF('Registo de operações'!AJ199&gt;0,'Registo de operações'!AJ199,"")</f>
        <v/>
      </c>
      <c r="C193" s="5" t="str">
        <f>IF('Registo de operações'!AJ199&lt;0,'Registo de operações'!AJ199,"")</f>
        <v/>
      </c>
      <c r="D193" s="6" t="str">
        <f>IF('Registo de operações'!AG199&gt;0,'Registo de operações'!AG199,"")</f>
        <v/>
      </c>
      <c r="E193" s="8" t="str">
        <f>IF('Registo de operações'!AG199&lt;0,'Registo de operações'!AG199,"")</f>
        <v/>
      </c>
    </row>
    <row r="194" spans="1:5">
      <c r="A194" s="7">
        <f>'Registo de operações'!C200</f>
        <v>0</v>
      </c>
      <c r="B194" s="5" t="str">
        <f>IF('Registo de operações'!AJ200&gt;0,'Registo de operações'!AJ200,"")</f>
        <v/>
      </c>
      <c r="C194" s="5" t="str">
        <f>IF('Registo de operações'!AJ200&lt;0,'Registo de operações'!AJ200,"")</f>
        <v/>
      </c>
      <c r="D194" s="6" t="str">
        <f>IF('Registo de operações'!AG200&gt;0,'Registo de operações'!AG200,"")</f>
        <v/>
      </c>
      <c r="E194" s="8" t="str">
        <f>IF('Registo de operações'!AG200&lt;0,'Registo de operações'!AG200,"")</f>
        <v/>
      </c>
    </row>
    <row r="195" spans="1:5">
      <c r="A195" s="7">
        <f>'Registo de operações'!C201</f>
        <v>0</v>
      </c>
      <c r="B195" s="5" t="str">
        <f>IF('Registo de operações'!AJ201&gt;0,'Registo de operações'!AJ201,"")</f>
        <v/>
      </c>
      <c r="C195" s="5" t="str">
        <f>IF('Registo de operações'!AJ201&lt;0,'Registo de operações'!AJ201,"")</f>
        <v/>
      </c>
      <c r="D195" s="6" t="str">
        <f>IF('Registo de operações'!AG201&gt;0,'Registo de operações'!AG201,"")</f>
        <v/>
      </c>
      <c r="E195" s="8" t="str">
        <f>IF('Registo de operações'!AG201&lt;0,'Registo de operações'!AG201,"")</f>
        <v/>
      </c>
    </row>
    <row r="196" spans="1:5">
      <c r="A196" s="7">
        <f>'Registo de operações'!C202</f>
        <v>0</v>
      </c>
      <c r="B196" s="5" t="str">
        <f>IF('Registo de operações'!AJ202&gt;0,'Registo de operações'!AJ202,"")</f>
        <v/>
      </c>
      <c r="C196" s="5" t="str">
        <f>IF('Registo de operações'!AJ202&lt;0,'Registo de operações'!AJ202,"")</f>
        <v/>
      </c>
      <c r="D196" s="6" t="str">
        <f>IF('Registo de operações'!AG202&gt;0,'Registo de operações'!AG202,"")</f>
        <v/>
      </c>
      <c r="E196" s="8" t="str">
        <f>IF('Registo de operações'!AG202&lt;0,'Registo de operações'!AG202,"")</f>
        <v/>
      </c>
    </row>
    <row r="197" spans="1:5">
      <c r="A197" s="7">
        <f>'Registo de operações'!C203</f>
        <v>0</v>
      </c>
      <c r="B197" s="5" t="str">
        <f>IF('Registo de operações'!AJ203&gt;0,'Registo de operações'!AJ203,"")</f>
        <v/>
      </c>
      <c r="C197" s="5" t="str">
        <f>IF('Registo de operações'!AJ203&lt;0,'Registo de operações'!AJ203,"")</f>
        <v/>
      </c>
      <c r="D197" s="6" t="str">
        <f>IF('Registo de operações'!AG203&gt;0,'Registo de operações'!AG203,"")</f>
        <v/>
      </c>
      <c r="E197" s="8" t="str">
        <f>IF('Registo de operações'!AG203&lt;0,'Registo de operações'!AG203,"")</f>
        <v/>
      </c>
    </row>
    <row r="198" spans="1:5">
      <c r="A198" s="7">
        <f>'Registo de operações'!C204</f>
        <v>0</v>
      </c>
      <c r="B198" s="5" t="str">
        <f>IF('Registo de operações'!AJ204&gt;0,'Registo de operações'!AJ204,"")</f>
        <v/>
      </c>
      <c r="C198" s="5" t="str">
        <f>IF('Registo de operações'!AJ204&lt;0,'Registo de operações'!AJ204,"")</f>
        <v/>
      </c>
      <c r="D198" s="6" t="str">
        <f>IF('Registo de operações'!AG204&gt;0,'Registo de operações'!AG204,"")</f>
        <v/>
      </c>
      <c r="E198" s="8" t="str">
        <f>IF('Registo de operações'!AG204&lt;0,'Registo de operações'!AG204,"")</f>
        <v/>
      </c>
    </row>
    <row r="199" spans="1:5">
      <c r="A199" s="7">
        <f>'Registo de operações'!C205</f>
        <v>0</v>
      </c>
      <c r="B199" s="5" t="str">
        <f>IF('Registo de operações'!AJ205&gt;0,'Registo de operações'!AJ205,"")</f>
        <v/>
      </c>
      <c r="C199" s="5" t="str">
        <f>IF('Registo de operações'!AJ205&lt;0,'Registo de operações'!AJ205,"")</f>
        <v/>
      </c>
      <c r="D199" s="6" t="str">
        <f>IF('Registo de operações'!AG205&gt;0,'Registo de operações'!AG205,"")</f>
        <v/>
      </c>
      <c r="E199" s="8" t="str">
        <f>IF('Registo de operações'!AG205&lt;0,'Registo de operações'!AG205,"")</f>
        <v/>
      </c>
    </row>
    <row r="200" spans="1:5">
      <c r="A200" s="7">
        <f>'Registo de operações'!C206</f>
        <v>0</v>
      </c>
      <c r="B200" s="5" t="str">
        <f>IF('Registo de operações'!AJ206&gt;0,'Registo de operações'!AJ206,"")</f>
        <v/>
      </c>
      <c r="C200" s="5" t="str">
        <f>IF('Registo de operações'!AJ206&lt;0,'Registo de operações'!AJ206,"")</f>
        <v/>
      </c>
      <c r="D200" s="6" t="str">
        <f>IF('Registo de operações'!AG206&gt;0,'Registo de operações'!AG206,"")</f>
        <v/>
      </c>
      <c r="E200" s="8" t="str">
        <f>IF('Registo de operações'!AG206&lt;0,'Registo de operações'!AG206,"")</f>
        <v/>
      </c>
    </row>
    <row r="201" spans="1:5">
      <c r="A201" s="7">
        <f>'Registo de operações'!C207</f>
        <v>0</v>
      </c>
      <c r="B201" s="5" t="str">
        <f>IF('Registo de operações'!AJ207&gt;0,'Registo de operações'!AJ207,"")</f>
        <v/>
      </c>
      <c r="C201" s="5" t="str">
        <f>IF('Registo de operações'!AJ207&lt;0,'Registo de operações'!AJ207,"")</f>
        <v/>
      </c>
      <c r="D201" s="6" t="str">
        <f>IF('Registo de operações'!AG207&gt;0,'Registo de operações'!AG207,"")</f>
        <v/>
      </c>
      <c r="E201" s="8" t="str">
        <f>IF('Registo de operações'!AG207&lt;0,'Registo de operações'!AG207,"")</f>
        <v/>
      </c>
    </row>
    <row r="202" spans="1:5">
      <c r="A202" s="7">
        <f>'Registo de operações'!C208</f>
        <v>0</v>
      </c>
      <c r="B202" s="5" t="str">
        <f>IF('Registo de operações'!AJ208&gt;0,'Registo de operações'!AJ208,"")</f>
        <v/>
      </c>
      <c r="C202" s="5" t="str">
        <f>IF('Registo de operações'!AJ208&lt;0,'Registo de operações'!AJ208,"")</f>
        <v/>
      </c>
      <c r="D202" s="6" t="str">
        <f>IF('Registo de operações'!AG208&gt;0,'Registo de operações'!AG208,"")</f>
        <v/>
      </c>
      <c r="E202" s="8" t="str">
        <f>IF('Registo de operações'!AG208&lt;0,'Registo de operações'!AG208,"")</f>
        <v/>
      </c>
    </row>
    <row r="203" spans="1:5">
      <c r="A203" s="7">
        <f>'Registo de operações'!C209</f>
        <v>0</v>
      </c>
      <c r="B203" s="5" t="str">
        <f>IF('Registo de operações'!AJ209&gt;0,'Registo de operações'!AJ209,"")</f>
        <v/>
      </c>
      <c r="C203" s="5" t="str">
        <f>IF('Registo de operações'!AJ209&lt;0,'Registo de operações'!AJ209,"")</f>
        <v/>
      </c>
      <c r="D203" s="6" t="str">
        <f>IF('Registo de operações'!AG209&gt;0,'Registo de operações'!AG209,"")</f>
        <v/>
      </c>
      <c r="E203" s="8" t="str">
        <f>IF('Registo de operações'!AG209&lt;0,'Registo de operações'!AG209,"")</f>
        <v/>
      </c>
    </row>
    <row r="204" spans="1:5">
      <c r="A204" s="9">
        <f>'Registo de operações'!C211</f>
        <v>0</v>
      </c>
      <c r="B204" s="5" t="str">
        <f>IF('Registo de operações'!AJ211&gt;0,'Registo de operações'!AJ211,"")</f>
        <v/>
      </c>
      <c r="C204" s="5" t="str">
        <f>IF('Registo de operações'!AJ211&lt;0,'Registo de operações'!AJ211,"")</f>
        <v/>
      </c>
      <c r="D204" s="6" t="str">
        <f>IF('Registo de operações'!AG211&gt;0,'Registo de operações'!AG211,"")</f>
        <v/>
      </c>
      <c r="E204" s="8" t="str">
        <f>IF('Registo de operações'!AG211&lt;0,'Registo de operações'!AG211,"")</f>
        <v/>
      </c>
    </row>
  </sheetData>
  <mergeCells count="2">
    <mergeCell ref="K1:L1"/>
    <mergeCell ref="M1:N1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 Oliveira</dc:creator>
  <cp:keywords/>
  <dc:description/>
  <cp:lastModifiedBy>Gabriela Eduarda</cp:lastModifiedBy>
  <cp:revision/>
  <dcterms:created xsi:type="dcterms:W3CDTF">2020-02-26T14:06:54Z</dcterms:created>
  <dcterms:modified xsi:type="dcterms:W3CDTF">2025-03-18T11:05:55Z</dcterms:modified>
  <cp:category/>
  <cp:contentStatus/>
</cp:coreProperties>
</file>