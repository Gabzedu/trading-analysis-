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8eb9676f6d6732/Não uso todos os dias/"/>
    </mc:Choice>
  </mc:AlternateContent>
  <xr:revisionPtr revIDLastSave="570" documentId="8_{DC4153B3-E45E-134A-8DEA-54B6A2BE3897}" xr6:coauthVersionLast="47" xr6:coauthVersionMax="47" xr10:uidLastSave="{4E44574F-146D-4A7F-8589-67FB0B980416}"/>
  <bookViews>
    <workbookView xWindow="0" yWindow="500" windowWidth="28800" windowHeight="16280" xr2:uid="{00000000-000D-0000-FFFF-FFFF00000000}"/>
  </bookViews>
  <sheets>
    <sheet name="2023_2024" sheetId="1" r:id="rId1"/>
  </sheets>
  <definedNames>
    <definedName name="_xlnm._FilterDatabase" localSheetId="0" hidden="1">'2023_2024'!$A$5:$AF$208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63" i="1" l="1"/>
  <c r="AD163" i="1"/>
  <c r="V163" i="1"/>
  <c r="S163" i="1"/>
  <c r="Z162" i="1"/>
  <c r="AE162" i="1" s="1"/>
  <c r="V162" i="1"/>
  <c r="S162" i="1"/>
  <c r="Z161" i="1"/>
  <c r="AE161" i="1" s="1"/>
  <c r="V161" i="1"/>
  <c r="S161" i="1"/>
  <c r="Z160" i="1"/>
  <c r="AE160" i="1" s="1"/>
  <c r="V160" i="1"/>
  <c r="S160" i="1"/>
  <c r="Z159" i="1"/>
  <c r="AE159" i="1" s="1"/>
  <c r="V159" i="1"/>
  <c r="S159" i="1"/>
  <c r="Z158" i="1"/>
  <c r="AE158" i="1" s="1"/>
  <c r="V158" i="1"/>
  <c r="S158" i="1"/>
  <c r="Z157" i="1"/>
  <c r="AE157" i="1" s="1"/>
  <c r="V157" i="1"/>
  <c r="S157" i="1"/>
  <c r="Z156" i="1"/>
  <c r="AE156" i="1" s="1"/>
  <c r="V156" i="1"/>
  <c r="S156" i="1"/>
  <c r="Z155" i="1"/>
  <c r="AE155" i="1" s="1"/>
  <c r="V155" i="1"/>
  <c r="S155" i="1"/>
  <c r="Z154" i="1"/>
  <c r="AE154" i="1" s="1"/>
  <c r="V154" i="1"/>
  <c r="S154" i="1"/>
  <c r="Z153" i="1"/>
  <c r="AE153" i="1" s="1"/>
  <c r="V153" i="1"/>
  <c r="S153" i="1"/>
  <c r="Z152" i="1"/>
  <c r="AE152" i="1" s="1"/>
  <c r="V152" i="1"/>
  <c r="S152" i="1"/>
  <c r="Z151" i="1"/>
  <c r="AE151" i="1" s="1"/>
  <c r="V151" i="1"/>
  <c r="S151" i="1"/>
  <c r="Z150" i="1"/>
  <c r="AE150" i="1" s="1"/>
  <c r="V150" i="1"/>
  <c r="S150" i="1"/>
  <c r="Z149" i="1"/>
  <c r="AE149" i="1" s="1"/>
  <c r="V149" i="1"/>
  <c r="S149" i="1"/>
  <c r="AE148" i="1"/>
  <c r="V148" i="1"/>
  <c r="S148" i="1"/>
  <c r="Z147" i="1"/>
  <c r="AE147" i="1" s="1"/>
  <c r="V147" i="1"/>
  <c r="S147" i="1"/>
  <c r="Z146" i="1"/>
  <c r="AE146" i="1" s="1"/>
  <c r="V146" i="1"/>
  <c r="S146" i="1"/>
  <c r="Z145" i="1"/>
  <c r="AE145" i="1" s="1"/>
  <c r="V145" i="1"/>
  <c r="S145" i="1"/>
  <c r="Z144" i="1"/>
  <c r="AE144" i="1" s="1"/>
  <c r="V144" i="1"/>
  <c r="S144" i="1"/>
  <c r="Z143" i="1"/>
  <c r="AE143" i="1" s="1"/>
  <c r="V143" i="1"/>
  <c r="S143" i="1"/>
  <c r="Z142" i="1"/>
  <c r="AE142" i="1" s="1"/>
  <c r="V142" i="1"/>
  <c r="S142" i="1"/>
  <c r="Z141" i="1"/>
  <c r="AE141" i="1" s="1"/>
  <c r="V141" i="1"/>
  <c r="S141" i="1"/>
  <c r="AE140" i="1"/>
  <c r="AD140" i="1"/>
  <c r="V140" i="1"/>
  <c r="S140" i="1"/>
  <c r="AE139" i="1"/>
  <c r="AD139" i="1"/>
  <c r="V139" i="1"/>
  <c r="S139" i="1"/>
  <c r="Z138" i="1"/>
  <c r="AE138" i="1" s="1"/>
  <c r="V138" i="1"/>
  <c r="S138" i="1"/>
  <c r="AE137" i="1"/>
  <c r="AD137" i="1"/>
  <c r="V137" i="1"/>
  <c r="S137" i="1"/>
  <c r="Z136" i="1"/>
  <c r="AE136" i="1" s="1"/>
  <c r="V136" i="1"/>
  <c r="S136" i="1"/>
  <c r="Z135" i="1"/>
  <c r="AE135" i="1" s="1"/>
  <c r="V135" i="1"/>
  <c r="S135" i="1"/>
  <c r="Z134" i="1"/>
  <c r="AE134" i="1" s="1"/>
  <c r="V134" i="1"/>
  <c r="S134" i="1"/>
  <c r="AE133" i="1"/>
  <c r="V133" i="1"/>
  <c r="S133" i="1"/>
  <c r="AE132" i="1"/>
  <c r="AD132" i="1"/>
  <c r="V132" i="1"/>
  <c r="S132" i="1"/>
  <c r="Z131" i="1"/>
  <c r="AE131" i="1" s="1"/>
  <c r="V131" i="1"/>
  <c r="S131" i="1"/>
  <c r="Z130" i="1"/>
  <c r="AE130" i="1" s="1"/>
  <c r="V130" i="1"/>
  <c r="S130" i="1"/>
  <c r="Z129" i="1"/>
  <c r="AE129" i="1" s="1"/>
  <c r="V129" i="1"/>
  <c r="S129" i="1"/>
  <c r="Z128" i="1"/>
  <c r="AE128" i="1" s="1"/>
  <c r="V128" i="1"/>
  <c r="S128" i="1"/>
  <c r="Z127" i="1"/>
  <c r="AE127" i="1" s="1"/>
  <c r="V127" i="1"/>
  <c r="S127" i="1"/>
  <c r="AE126" i="1"/>
  <c r="AD126" i="1"/>
  <c r="V126" i="1"/>
  <c r="S126" i="1"/>
  <c r="Z125" i="1"/>
  <c r="AE125" i="1" s="1"/>
  <c r="V125" i="1"/>
  <c r="S125" i="1"/>
  <c r="Z124" i="1"/>
  <c r="AE124" i="1" s="1"/>
  <c r="V124" i="1"/>
  <c r="S124" i="1"/>
  <c r="Z123" i="1"/>
  <c r="AE123" i="1" s="1"/>
  <c r="V123" i="1"/>
  <c r="S123" i="1"/>
  <c r="Z122" i="1"/>
  <c r="AE122" i="1" s="1"/>
  <c r="V122" i="1"/>
  <c r="S122" i="1"/>
  <c r="Z121" i="1"/>
  <c r="AE121" i="1" s="1"/>
  <c r="V121" i="1"/>
  <c r="S121" i="1"/>
  <c r="AE120" i="1"/>
  <c r="AD120" i="1"/>
  <c r="V120" i="1"/>
  <c r="S120" i="1"/>
  <c r="Z119" i="1"/>
  <c r="AE119" i="1" s="1"/>
  <c r="V119" i="1"/>
  <c r="S119" i="1"/>
  <c r="Z118" i="1"/>
  <c r="AE118" i="1" s="1"/>
  <c r="V118" i="1"/>
  <c r="S118" i="1"/>
  <c r="Z117" i="1"/>
  <c r="AE117" i="1" s="1"/>
  <c r="V117" i="1"/>
  <c r="S117" i="1"/>
  <c r="Z116" i="1"/>
  <c r="AE116" i="1" s="1"/>
  <c r="V116" i="1"/>
  <c r="S116" i="1"/>
  <c r="Z115" i="1"/>
  <c r="AE115" i="1" s="1"/>
  <c r="V115" i="1"/>
  <c r="S115" i="1"/>
  <c r="Z114" i="1"/>
  <c r="AE114" i="1" s="1"/>
  <c r="V114" i="1"/>
  <c r="S114" i="1"/>
  <c r="AD113" i="1"/>
  <c r="Z113" i="1"/>
  <c r="AE113" i="1" s="1"/>
  <c r="V113" i="1"/>
  <c r="S113" i="1"/>
  <c r="Z112" i="1"/>
  <c r="AE112" i="1" s="1"/>
  <c r="V112" i="1"/>
  <c r="S112" i="1"/>
  <c r="AE111" i="1"/>
  <c r="AD111" i="1"/>
  <c r="V111" i="1"/>
  <c r="S111" i="1"/>
  <c r="Z110" i="1"/>
  <c r="AE110" i="1" s="1"/>
  <c r="V110" i="1"/>
  <c r="S110" i="1"/>
  <c r="AE109" i="1"/>
  <c r="AD109" i="1"/>
  <c r="V109" i="1"/>
  <c r="S109" i="1"/>
  <c r="Z108" i="1"/>
  <c r="AE108" i="1" s="1"/>
  <c r="V108" i="1"/>
  <c r="S108" i="1"/>
  <c r="Z107" i="1"/>
  <c r="AE107" i="1" s="1"/>
  <c r="V107" i="1"/>
  <c r="S107" i="1"/>
  <c r="Z106" i="1"/>
  <c r="AE106" i="1" s="1"/>
  <c r="V106" i="1"/>
  <c r="S106" i="1"/>
  <c r="AE105" i="1"/>
  <c r="V105" i="1"/>
  <c r="S105" i="1"/>
  <c r="AE104" i="1"/>
  <c r="V104" i="1"/>
  <c r="S104" i="1"/>
  <c r="Z103" i="1"/>
  <c r="AE103" i="1" s="1"/>
  <c r="V103" i="1"/>
  <c r="S103" i="1"/>
  <c r="Z102" i="1"/>
  <c r="AE102" i="1" s="1"/>
  <c r="V102" i="1"/>
  <c r="S102" i="1"/>
  <c r="Z101" i="1"/>
  <c r="AE101" i="1" s="1"/>
  <c r="V101" i="1"/>
  <c r="S101" i="1"/>
  <c r="AE100" i="1"/>
  <c r="AD100" i="1"/>
  <c r="V100" i="1"/>
  <c r="S100" i="1"/>
  <c r="AE99" i="1"/>
  <c r="AD99" i="1"/>
  <c r="V99" i="1"/>
  <c r="S99" i="1"/>
  <c r="AE98" i="1"/>
  <c r="AD98" i="1"/>
  <c r="V98" i="1"/>
  <c r="S98" i="1"/>
  <c r="AE97" i="1"/>
  <c r="AD97" i="1"/>
  <c r="V97" i="1"/>
  <c r="S97" i="1"/>
  <c r="Z96" i="1"/>
  <c r="AE96" i="1" s="1"/>
  <c r="V96" i="1"/>
  <c r="S96" i="1"/>
  <c r="AE95" i="1"/>
  <c r="AD95" i="1"/>
  <c r="V95" i="1"/>
  <c r="S95" i="1"/>
  <c r="AE94" i="1"/>
  <c r="AD94" i="1"/>
  <c r="V94" i="1"/>
  <c r="S94" i="1"/>
  <c r="AD93" i="1"/>
  <c r="Z93" i="1"/>
  <c r="AE93" i="1" s="1"/>
  <c r="V93" i="1"/>
  <c r="S93" i="1"/>
  <c r="AE92" i="1"/>
  <c r="AD92" i="1"/>
  <c r="V92" i="1"/>
  <c r="S92" i="1"/>
  <c r="AE91" i="1"/>
  <c r="AD91" i="1"/>
  <c r="V91" i="1"/>
  <c r="S91" i="1"/>
  <c r="Z90" i="1"/>
  <c r="AE90" i="1" s="1"/>
  <c r="V90" i="1"/>
  <c r="S90" i="1"/>
  <c r="AE89" i="1"/>
  <c r="AD89" i="1"/>
  <c r="V89" i="1"/>
  <c r="S89" i="1"/>
  <c r="Z88" i="1"/>
  <c r="AE88" i="1" s="1"/>
  <c r="V88" i="1"/>
  <c r="S88" i="1"/>
  <c r="Z87" i="1"/>
  <c r="AE87" i="1" s="1"/>
  <c r="V87" i="1"/>
  <c r="S87" i="1"/>
  <c r="Z86" i="1"/>
  <c r="AE86" i="1" s="1"/>
  <c r="V86" i="1"/>
  <c r="S86" i="1"/>
  <c r="Z85" i="1"/>
  <c r="AE85" i="1" s="1"/>
  <c r="V85" i="1"/>
  <c r="S85" i="1"/>
  <c r="Z84" i="1"/>
  <c r="AE84" i="1" s="1"/>
  <c r="V84" i="1"/>
  <c r="S84" i="1"/>
  <c r="Z83" i="1"/>
  <c r="AE83" i="1" s="1"/>
  <c r="V83" i="1"/>
  <c r="S83" i="1"/>
  <c r="N83" i="1"/>
  <c r="AE82" i="1"/>
  <c r="V82" i="1"/>
  <c r="S82" i="1"/>
  <c r="AE81" i="1"/>
  <c r="V81" i="1"/>
  <c r="S81" i="1"/>
  <c r="AE80" i="1"/>
  <c r="V80" i="1"/>
  <c r="S80" i="1"/>
  <c r="AE79" i="1"/>
  <c r="V79" i="1"/>
  <c r="S79" i="1"/>
  <c r="AE78" i="1"/>
  <c r="V78" i="1"/>
  <c r="S78" i="1"/>
  <c r="AE77" i="1"/>
  <c r="V77" i="1"/>
  <c r="S77" i="1"/>
  <c r="AE76" i="1"/>
  <c r="V76" i="1"/>
  <c r="S76" i="1"/>
  <c r="AE75" i="1"/>
  <c r="AC75" i="1"/>
  <c r="AD75" i="1" s="1"/>
  <c r="V75" i="1"/>
  <c r="S75" i="1"/>
  <c r="AE74" i="1"/>
  <c r="V74" i="1"/>
  <c r="S74" i="1"/>
  <c r="AE73" i="1"/>
  <c r="V73" i="1"/>
  <c r="S73" i="1"/>
  <c r="AE72" i="1"/>
  <c r="V72" i="1"/>
  <c r="S72" i="1"/>
  <c r="AE71" i="1"/>
  <c r="V71" i="1"/>
  <c r="S71" i="1"/>
  <c r="AE70" i="1"/>
  <c r="V70" i="1"/>
  <c r="S70" i="1"/>
  <c r="AE69" i="1"/>
  <c r="V69" i="1"/>
  <c r="S69" i="1"/>
  <c r="AE68" i="1"/>
  <c r="V68" i="1"/>
  <c r="S68" i="1"/>
  <c r="AE67" i="1"/>
  <c r="V67" i="1"/>
  <c r="S67" i="1"/>
  <c r="AE66" i="1"/>
  <c r="V66" i="1"/>
  <c r="S66" i="1"/>
  <c r="AE65" i="1"/>
  <c r="V65" i="1"/>
  <c r="S65" i="1"/>
  <c r="AE64" i="1"/>
  <c r="V64" i="1"/>
  <c r="S64" i="1"/>
  <c r="AE63" i="1"/>
  <c r="V63" i="1"/>
  <c r="S63" i="1"/>
  <c r="AE62" i="1"/>
  <c r="V62" i="1"/>
  <c r="S62" i="1"/>
  <c r="AE61" i="1"/>
  <c r="V61" i="1"/>
  <c r="S61" i="1"/>
  <c r="AE60" i="1"/>
  <c r="V60" i="1"/>
  <c r="S60" i="1"/>
  <c r="AE59" i="1"/>
  <c r="V59" i="1"/>
  <c r="S59" i="1"/>
  <c r="AE58" i="1"/>
  <c r="V58" i="1"/>
  <c r="S58" i="1"/>
  <c r="AE57" i="1"/>
  <c r="V57" i="1"/>
  <c r="S57" i="1"/>
  <c r="AE56" i="1"/>
  <c r="V56" i="1"/>
  <c r="S56" i="1"/>
  <c r="AE55" i="1"/>
  <c r="V55" i="1"/>
  <c r="S55" i="1"/>
  <c r="AE54" i="1"/>
  <c r="V54" i="1"/>
  <c r="S54" i="1"/>
  <c r="AE53" i="1"/>
  <c r="V53" i="1"/>
  <c r="S53" i="1"/>
  <c r="AE52" i="1"/>
  <c r="V52" i="1"/>
  <c r="S52" i="1"/>
  <c r="AE51" i="1"/>
  <c r="V51" i="1"/>
  <c r="S51" i="1"/>
  <c r="AE50" i="1"/>
  <c r="V50" i="1"/>
  <c r="S50" i="1"/>
  <c r="AE49" i="1"/>
  <c r="V49" i="1"/>
  <c r="S49" i="1"/>
  <c r="AE48" i="1"/>
  <c r="V48" i="1"/>
  <c r="S48" i="1"/>
  <c r="AE47" i="1"/>
  <c r="V47" i="1"/>
  <c r="S47" i="1"/>
  <c r="AE46" i="1"/>
  <c r="V46" i="1"/>
  <c r="S46" i="1"/>
  <c r="AE45" i="1"/>
  <c r="V45" i="1"/>
  <c r="S45" i="1"/>
  <c r="AE44" i="1"/>
  <c r="V44" i="1"/>
  <c r="S44" i="1"/>
  <c r="AE43" i="1"/>
  <c r="V43" i="1"/>
  <c r="S43" i="1"/>
  <c r="AE42" i="1"/>
  <c r="V42" i="1"/>
  <c r="S42" i="1"/>
  <c r="AE41" i="1"/>
  <c r="V41" i="1"/>
  <c r="S41" i="1"/>
  <c r="AE40" i="1"/>
  <c r="V40" i="1"/>
  <c r="S40" i="1"/>
  <c r="AE39" i="1"/>
  <c r="V39" i="1"/>
  <c r="S39" i="1"/>
  <c r="AE38" i="1"/>
  <c r="V38" i="1"/>
  <c r="S38" i="1"/>
  <c r="AE37" i="1"/>
  <c r="V37" i="1"/>
  <c r="S37" i="1"/>
  <c r="AE36" i="1"/>
  <c r="V36" i="1"/>
  <c r="S36" i="1"/>
  <c r="AE35" i="1"/>
  <c r="V35" i="1"/>
  <c r="S35" i="1"/>
  <c r="AE34" i="1"/>
  <c r="V34" i="1"/>
  <c r="S34" i="1"/>
  <c r="AE33" i="1"/>
  <c r="V33" i="1"/>
  <c r="S33" i="1"/>
  <c r="AE32" i="1"/>
  <c r="V32" i="1"/>
  <c r="S32" i="1"/>
  <c r="AE31" i="1"/>
  <c r="V31" i="1"/>
  <c r="S31" i="1"/>
  <c r="AE30" i="1"/>
  <c r="V30" i="1"/>
  <c r="S30" i="1"/>
  <c r="AE29" i="1"/>
  <c r="V29" i="1"/>
  <c r="S29" i="1"/>
  <c r="AE28" i="1"/>
  <c r="V28" i="1"/>
  <c r="S28" i="1"/>
  <c r="AE27" i="1"/>
  <c r="V27" i="1"/>
  <c r="S27" i="1"/>
  <c r="AE26" i="1"/>
  <c r="V26" i="1"/>
  <c r="S26" i="1"/>
  <c r="AE25" i="1"/>
  <c r="V25" i="1"/>
  <c r="S25" i="1"/>
  <c r="AE24" i="1"/>
  <c r="V24" i="1"/>
  <c r="S24" i="1"/>
  <c r="AE23" i="1"/>
  <c r="V23" i="1"/>
  <c r="S23" i="1"/>
  <c r="AE22" i="1"/>
  <c r="V22" i="1"/>
  <c r="S22" i="1"/>
  <c r="AE21" i="1"/>
  <c r="V21" i="1"/>
  <c r="S21" i="1"/>
  <c r="AE20" i="1"/>
  <c r="V20" i="1"/>
  <c r="S20" i="1"/>
  <c r="AE19" i="1"/>
  <c r="V19" i="1"/>
  <c r="S19" i="1"/>
  <c r="AE18" i="1"/>
  <c r="V18" i="1"/>
  <c r="S18" i="1"/>
  <c r="AE17" i="1"/>
  <c r="V17" i="1"/>
  <c r="S17" i="1"/>
  <c r="AE16" i="1"/>
  <c r="V16" i="1"/>
  <c r="S16" i="1"/>
  <c r="AE15" i="1"/>
  <c r="V15" i="1"/>
  <c r="S15" i="1"/>
  <c r="AE14" i="1"/>
  <c r="V14" i="1"/>
  <c r="S14" i="1"/>
  <c r="AE13" i="1"/>
  <c r="V13" i="1"/>
  <c r="S13" i="1"/>
  <c r="AE12" i="1"/>
  <c r="V12" i="1"/>
  <c r="S12" i="1"/>
  <c r="AE11" i="1"/>
  <c r="V11" i="1"/>
  <c r="S11" i="1"/>
  <c r="AE10" i="1"/>
  <c r="V10" i="1"/>
  <c r="S10" i="1"/>
  <c r="AE9" i="1"/>
  <c r="V9" i="1"/>
  <c r="S9" i="1"/>
  <c r="AE8" i="1"/>
  <c r="V8" i="1"/>
  <c r="S8" i="1"/>
  <c r="AE7" i="1"/>
  <c r="V7" i="1"/>
  <c r="S7" i="1"/>
  <c r="AE6" i="1"/>
  <c r="V6" i="1"/>
  <c r="S6" i="1"/>
  <c r="N6" i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V164" i="1"/>
  <c r="X164" i="1" s="1"/>
  <c r="W164" i="1" s="1"/>
  <c r="V165" i="1"/>
  <c r="X165" i="1" s="1"/>
  <c r="W165" i="1" s="1"/>
  <c r="V166" i="1"/>
  <c r="X166" i="1" s="1"/>
  <c r="W166" i="1" s="1"/>
  <c r="V167" i="1"/>
  <c r="X167" i="1" s="1"/>
  <c r="W167" i="1" s="1"/>
  <c r="V168" i="1"/>
  <c r="X168" i="1" s="1"/>
  <c r="W168" i="1" s="1"/>
  <c r="V169" i="1"/>
  <c r="X169" i="1" s="1"/>
  <c r="W169" i="1" s="1"/>
  <c r="V170" i="1"/>
  <c r="X170" i="1" s="1"/>
  <c r="W170" i="1" s="1"/>
  <c r="V171" i="1"/>
  <c r="X171" i="1" s="1"/>
  <c r="W171" i="1" s="1"/>
  <c r="V172" i="1"/>
  <c r="X172" i="1" s="1"/>
  <c r="W172" i="1" s="1"/>
  <c r="V173" i="1"/>
  <c r="X173" i="1" s="1"/>
  <c r="W173" i="1" s="1"/>
  <c r="V174" i="1"/>
  <c r="X174" i="1" s="1"/>
  <c r="W174" i="1" s="1"/>
  <c r="V175" i="1"/>
  <c r="X175" i="1" s="1"/>
  <c r="W175" i="1" s="1"/>
  <c r="V176" i="1"/>
  <c r="X176" i="1" s="1"/>
  <c r="W176" i="1" s="1"/>
  <c r="V177" i="1"/>
  <c r="X177" i="1" s="1"/>
  <c r="W177" i="1" s="1"/>
  <c r="V178" i="1"/>
  <c r="X178" i="1" s="1"/>
  <c r="W178" i="1" s="1"/>
  <c r="V179" i="1"/>
  <c r="X179" i="1" s="1"/>
  <c r="W179" i="1" s="1"/>
  <c r="V180" i="1"/>
  <c r="X180" i="1" s="1"/>
  <c r="W180" i="1" s="1"/>
  <c r="V181" i="1"/>
  <c r="X181" i="1" s="1"/>
  <c r="W181" i="1" s="1"/>
  <c r="V182" i="1"/>
  <c r="X182" i="1" s="1"/>
  <c r="W182" i="1" s="1"/>
  <c r="V183" i="1"/>
  <c r="X183" i="1" s="1"/>
  <c r="W183" i="1" s="1"/>
  <c r="V184" i="1"/>
  <c r="X184" i="1" s="1"/>
  <c r="W184" i="1" s="1"/>
  <c r="V185" i="1"/>
  <c r="X185" i="1" s="1"/>
  <c r="W185" i="1" s="1"/>
  <c r="V186" i="1"/>
  <c r="X186" i="1" s="1"/>
  <c r="W186" i="1" s="1"/>
  <c r="V187" i="1"/>
  <c r="X187" i="1" s="1"/>
  <c r="W187" i="1" s="1"/>
  <c r="V188" i="1"/>
  <c r="X188" i="1" s="1"/>
  <c r="W188" i="1" s="1"/>
  <c r="V189" i="1"/>
  <c r="X189" i="1" s="1"/>
  <c r="W189" i="1" s="1"/>
  <c r="V190" i="1"/>
  <c r="X190" i="1" s="1"/>
  <c r="W190" i="1" s="1"/>
  <c r="V191" i="1"/>
  <c r="X191" i="1" s="1"/>
  <c r="W191" i="1" s="1"/>
  <c r="V192" i="1"/>
  <c r="X192" i="1" s="1"/>
  <c r="W192" i="1" s="1"/>
  <c r="V193" i="1"/>
  <c r="X193" i="1" s="1"/>
  <c r="W193" i="1" s="1"/>
  <c r="V194" i="1"/>
  <c r="X194" i="1" s="1"/>
  <c r="W194" i="1" s="1"/>
  <c r="V195" i="1"/>
  <c r="X195" i="1" s="1"/>
  <c r="W195" i="1" s="1"/>
  <c r="V196" i="1"/>
  <c r="X196" i="1" s="1"/>
  <c r="W196" i="1" s="1"/>
  <c r="V197" i="1"/>
  <c r="X197" i="1" s="1"/>
  <c r="W197" i="1" s="1"/>
  <c r="V198" i="1"/>
  <c r="X198" i="1" s="1"/>
  <c r="W198" i="1" s="1"/>
  <c r="V199" i="1"/>
  <c r="X199" i="1" s="1"/>
  <c r="W199" i="1" s="1"/>
  <c r="V200" i="1"/>
  <c r="X200" i="1" s="1"/>
  <c r="W200" i="1" s="1"/>
  <c r="V201" i="1"/>
  <c r="X201" i="1" s="1"/>
  <c r="W201" i="1" s="1"/>
  <c r="V202" i="1"/>
  <c r="X202" i="1" s="1"/>
  <c r="W202" i="1" s="1"/>
  <c r="V203" i="1"/>
  <c r="X203" i="1" s="1"/>
  <c r="W203" i="1" s="1"/>
  <c r="V204" i="1"/>
  <c r="X204" i="1" s="1"/>
  <c r="W204" i="1" s="1"/>
  <c r="V205" i="1"/>
  <c r="X205" i="1" s="1"/>
  <c r="W205" i="1" s="1"/>
  <c r="V206" i="1"/>
  <c r="X206" i="1" s="1"/>
  <c r="W206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AE164" i="1"/>
  <c r="AE165" i="1"/>
  <c r="AF165" i="1" s="1"/>
  <c r="AE166" i="1"/>
  <c r="AE167" i="1"/>
  <c r="AE168" i="1"/>
  <c r="AE169" i="1"/>
  <c r="AF169" i="1" s="1"/>
  <c r="AE170" i="1"/>
  <c r="AE171" i="1"/>
  <c r="AF171" i="1" s="1"/>
  <c r="AE172" i="1"/>
  <c r="AF172" i="1" s="1"/>
  <c r="AE173" i="1"/>
  <c r="AF173" i="1" s="1"/>
  <c r="AE174" i="1"/>
  <c r="AE175" i="1"/>
  <c r="AE176" i="1"/>
  <c r="AE177" i="1"/>
  <c r="AF177" i="1" s="1"/>
  <c r="AE178" i="1"/>
  <c r="AE179" i="1"/>
  <c r="AF179" i="1" s="1"/>
  <c r="AE180" i="1"/>
  <c r="AE181" i="1"/>
  <c r="AF181" i="1" s="1"/>
  <c r="AE182" i="1"/>
  <c r="AE183" i="1"/>
  <c r="AF183" i="1" s="1"/>
  <c r="AE184" i="1"/>
  <c r="AF184" i="1" s="1"/>
  <c r="AE185" i="1"/>
  <c r="AF185" i="1" s="1"/>
  <c r="AE186" i="1"/>
  <c r="AE187" i="1"/>
  <c r="AE188" i="1"/>
  <c r="AE189" i="1"/>
  <c r="AF189" i="1" s="1"/>
  <c r="AE190" i="1"/>
  <c r="AE191" i="1"/>
  <c r="AE192" i="1"/>
  <c r="AE193" i="1"/>
  <c r="AF193" i="1" s="1"/>
  <c r="AE194" i="1"/>
  <c r="AE195" i="1"/>
  <c r="AF195" i="1" s="1"/>
  <c r="AE196" i="1"/>
  <c r="AE197" i="1"/>
  <c r="AF197" i="1" s="1"/>
  <c r="AE198" i="1"/>
  <c r="AE199" i="1"/>
  <c r="AF199" i="1" s="1"/>
  <c r="AE200" i="1"/>
  <c r="AF200" i="1" s="1"/>
  <c r="AE201" i="1"/>
  <c r="AF201" i="1" s="1"/>
  <c r="AE202" i="1"/>
  <c r="AE203" i="1"/>
  <c r="AE204" i="1"/>
  <c r="AF204" i="1" s="1"/>
  <c r="AE205" i="1"/>
  <c r="AF205" i="1" s="1"/>
  <c r="AE206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T83" i="1" l="1"/>
  <c r="AC83" i="1" s="1"/>
  <c r="AD83" i="1" s="1"/>
  <c r="X83" i="1"/>
  <c r="W83" i="1" s="1"/>
  <c r="AF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T6" i="1"/>
  <c r="AC6" i="1" s="1"/>
  <c r="X6" i="1"/>
  <c r="W6" i="1" s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AF194" i="1"/>
  <c r="AF166" i="1"/>
  <c r="AF168" i="1"/>
  <c r="AF164" i="1"/>
  <c r="AF192" i="1"/>
  <c r="AF206" i="1"/>
  <c r="AF187" i="1"/>
  <c r="AF203" i="1"/>
  <c r="AF190" i="1"/>
  <c r="AF188" i="1"/>
  <c r="AF178" i="1"/>
  <c r="AF176" i="1"/>
  <c r="AF174" i="1"/>
  <c r="AF198" i="1"/>
  <c r="AF196" i="1"/>
  <c r="AF191" i="1"/>
  <c r="AF182" i="1"/>
  <c r="AF180" i="1"/>
  <c r="AF175" i="1"/>
  <c r="AF170" i="1"/>
  <c r="AF202" i="1"/>
  <c r="AF186" i="1"/>
  <c r="AF167" i="1"/>
  <c r="AG6" i="1" l="1"/>
  <c r="AF6" i="1"/>
  <c r="AG83" i="1"/>
  <c r="M84" i="1" s="1"/>
  <c r="N84" i="1"/>
  <c r="T84" i="1" s="1"/>
  <c r="M7" i="1"/>
  <c r="AD6" i="1"/>
  <c r="AC84" i="1" l="1"/>
  <c r="W84" i="1"/>
  <c r="N7" i="1"/>
  <c r="T7" i="1" s="1"/>
  <c r="AD84" i="1" l="1"/>
  <c r="AF84" i="1"/>
  <c r="AC7" i="1"/>
  <c r="AG7" i="1" s="1"/>
  <c r="W7" i="1"/>
  <c r="AG84" i="1" l="1"/>
  <c r="M85" i="1" s="1"/>
  <c r="N85" i="1"/>
  <c r="T85" i="1" s="1"/>
  <c r="AD7" i="1"/>
  <c r="AF7" i="1"/>
  <c r="M8" i="1"/>
  <c r="AC85" i="1" l="1"/>
  <c r="W85" i="1"/>
  <c r="N8" i="1"/>
  <c r="T8" i="1" s="1"/>
  <c r="W8" i="1" s="1"/>
  <c r="AC8" i="1" s="1"/>
  <c r="AG8" i="1" s="1"/>
  <c r="AD85" i="1" l="1"/>
  <c r="AF85" i="1"/>
  <c r="AD8" i="1"/>
  <c r="AF8" i="1"/>
  <c r="M9" i="1"/>
  <c r="BD5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12" i="1"/>
  <c r="BD7" i="1"/>
  <c r="BD8" i="1"/>
  <c r="BD9" i="1"/>
  <c r="BD10" i="1"/>
  <c r="BD11" i="1"/>
  <c r="BD6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35" i="1"/>
  <c r="BD67" i="1"/>
  <c r="BD68" i="1"/>
  <c r="BD69" i="1"/>
  <c r="BD70" i="1"/>
  <c r="BD71" i="1"/>
  <c r="BD72" i="1"/>
  <c r="BD73" i="1"/>
  <c r="BD74" i="1"/>
  <c r="BD75" i="1"/>
  <c r="BD76" i="1"/>
  <c r="BD66" i="1"/>
  <c r="AG85" i="1" l="1"/>
  <c r="M86" i="1" s="1"/>
  <c r="N86" i="1"/>
  <c r="T86" i="1" s="1"/>
  <c r="N9" i="1"/>
  <c r="T9" i="1" s="1"/>
  <c r="W9" i="1" s="1"/>
  <c r="AC9" i="1" s="1"/>
  <c r="AG9" i="1" s="1"/>
  <c r="AC86" i="1" l="1"/>
  <c r="W86" i="1"/>
  <c r="AD9" i="1"/>
  <c r="AF9" i="1"/>
  <c r="M10" i="1"/>
  <c r="AD86" i="1" l="1"/>
  <c r="AF86" i="1"/>
  <c r="N10" i="1"/>
  <c r="T10" i="1" s="1"/>
  <c r="W10" i="1" s="1"/>
  <c r="AC10" i="1" s="1"/>
  <c r="AG10" i="1" s="1"/>
  <c r="AG86" i="1" l="1"/>
  <c r="M87" i="1" s="1"/>
  <c r="N87" i="1"/>
  <c r="T87" i="1" s="1"/>
  <c r="W87" i="1" s="1"/>
  <c r="AC87" i="1" s="1"/>
  <c r="AD10" i="1"/>
  <c r="AF10" i="1"/>
  <c r="M11" i="1"/>
  <c r="AD87" i="1" l="1"/>
  <c r="AF87" i="1"/>
  <c r="N11" i="1"/>
  <c r="T11" i="1" s="1"/>
  <c r="AG87" i="1" l="1"/>
  <c r="M88" i="1" s="1"/>
  <c r="N88" i="1"/>
  <c r="T88" i="1" s="1"/>
  <c r="W88" i="1" s="1"/>
  <c r="AC88" i="1" s="1"/>
  <c r="AC11" i="1"/>
  <c r="AG11" i="1" s="1"/>
  <c r="W11" i="1"/>
  <c r="AD88" i="1" l="1"/>
  <c r="AF88" i="1"/>
  <c r="AD11" i="1"/>
  <c r="AF11" i="1"/>
  <c r="M12" i="1"/>
  <c r="AG88" i="1" l="1"/>
  <c r="M89" i="1" s="1"/>
  <c r="AG89" i="1" s="1"/>
  <c r="M90" i="1"/>
  <c r="N89" i="1"/>
  <c r="T89" i="1" s="1"/>
  <c r="N12" i="1"/>
  <c r="T12" i="1" s="1"/>
  <c r="W12" i="1" s="1"/>
  <c r="AC12" i="1" s="1"/>
  <c r="AG12" i="1" s="1"/>
  <c r="AF89" i="1" l="1"/>
  <c r="W89" i="1"/>
  <c r="N90" i="1"/>
  <c r="T90" i="1" s="1"/>
  <c r="AD12" i="1"/>
  <c r="AF12" i="1"/>
  <c r="M13" i="1"/>
  <c r="AC90" i="1" l="1"/>
  <c r="W90" i="1"/>
  <c r="N13" i="1"/>
  <c r="T13" i="1" s="1"/>
  <c r="AD90" i="1" l="1"/>
  <c r="AF90" i="1"/>
  <c r="AC13" i="1"/>
  <c r="AG13" i="1" s="1"/>
  <c r="W13" i="1"/>
  <c r="AG90" i="1" l="1"/>
  <c r="M91" i="1" s="1"/>
  <c r="AG91" i="1" s="1"/>
  <c r="M92" i="1"/>
  <c r="AG92" i="1" s="1"/>
  <c r="N91" i="1"/>
  <c r="T91" i="1" s="1"/>
  <c r="AD13" i="1"/>
  <c r="AF13" i="1"/>
  <c r="M14" i="1"/>
  <c r="AF91" i="1" l="1"/>
  <c r="W91" i="1"/>
  <c r="M93" i="1"/>
  <c r="AG93" i="1" s="1"/>
  <c r="N92" i="1"/>
  <c r="T92" i="1" s="1"/>
  <c r="N14" i="1"/>
  <c r="T14" i="1" s="1"/>
  <c r="W14" i="1" s="1"/>
  <c r="AC14" i="1" s="1"/>
  <c r="AG14" i="1" s="1"/>
  <c r="AF92" i="1" l="1"/>
  <c r="W92" i="1"/>
  <c r="M94" i="1"/>
  <c r="AG94" i="1" s="1"/>
  <c r="N93" i="1"/>
  <c r="T93" i="1" s="1"/>
  <c r="AD14" i="1"/>
  <c r="AF14" i="1"/>
  <c r="M15" i="1"/>
  <c r="AF93" i="1" l="1"/>
  <c r="W93" i="1"/>
  <c r="M95" i="1"/>
  <c r="AG95" i="1" s="1"/>
  <c r="N94" i="1"/>
  <c r="T94" i="1" s="1"/>
  <c r="N15" i="1"/>
  <c r="T15" i="1" s="1"/>
  <c r="W15" i="1" s="1"/>
  <c r="AC15" i="1" s="1"/>
  <c r="AG15" i="1" s="1"/>
  <c r="AF94" i="1" l="1"/>
  <c r="W94" i="1"/>
  <c r="M96" i="1"/>
  <c r="N95" i="1"/>
  <c r="T95" i="1" s="1"/>
  <c r="AD15" i="1"/>
  <c r="AF15" i="1"/>
  <c r="M16" i="1"/>
  <c r="AF95" i="1" l="1"/>
  <c r="W95" i="1"/>
  <c r="N96" i="1"/>
  <c r="T96" i="1" s="1"/>
  <c r="N16" i="1"/>
  <c r="T16" i="1" s="1"/>
  <c r="AC96" i="1" l="1"/>
  <c r="W96" i="1"/>
  <c r="AC16" i="1"/>
  <c r="AG16" i="1" s="1"/>
  <c r="W16" i="1"/>
  <c r="AD96" i="1" l="1"/>
  <c r="AF96" i="1"/>
  <c r="AD16" i="1"/>
  <c r="AF16" i="1"/>
  <c r="M17" i="1"/>
  <c r="AG96" i="1" l="1"/>
  <c r="M97" i="1" s="1"/>
  <c r="AG97" i="1" s="1"/>
  <c r="M98" i="1"/>
  <c r="AG98" i="1" s="1"/>
  <c r="N97" i="1"/>
  <c r="T97" i="1" s="1"/>
  <c r="N17" i="1"/>
  <c r="T17" i="1" s="1"/>
  <c r="AF97" i="1" l="1"/>
  <c r="W97" i="1"/>
  <c r="M99" i="1"/>
  <c r="AG99" i="1" s="1"/>
  <c r="N98" i="1"/>
  <c r="T98" i="1" s="1"/>
  <c r="AC17" i="1"/>
  <c r="AG17" i="1" s="1"/>
  <c r="W17" i="1"/>
  <c r="AF98" i="1" l="1"/>
  <c r="W98" i="1"/>
  <c r="M100" i="1"/>
  <c r="AG100" i="1" s="1"/>
  <c r="N99" i="1"/>
  <c r="T99" i="1" s="1"/>
  <c r="AD17" i="1"/>
  <c r="AF17" i="1"/>
  <c r="M18" i="1"/>
  <c r="AF99" i="1" l="1"/>
  <c r="W99" i="1"/>
  <c r="M101" i="1"/>
  <c r="N100" i="1"/>
  <c r="T100" i="1" s="1"/>
  <c r="N18" i="1"/>
  <c r="T18" i="1" s="1"/>
  <c r="W18" i="1" s="1"/>
  <c r="AC18" i="1" s="1"/>
  <c r="AG18" i="1" s="1"/>
  <c r="AF100" i="1" l="1"/>
  <c r="W100" i="1"/>
  <c r="N101" i="1"/>
  <c r="T101" i="1" s="1"/>
  <c r="W101" i="1" s="1"/>
  <c r="AC101" i="1" s="1"/>
  <c r="AD18" i="1"/>
  <c r="AF18" i="1"/>
  <c r="M19" i="1"/>
  <c r="AD101" i="1" l="1"/>
  <c r="AF101" i="1"/>
  <c r="N19" i="1"/>
  <c r="T19" i="1" s="1"/>
  <c r="W19" i="1" s="1"/>
  <c r="AC19" i="1" s="1"/>
  <c r="AG19" i="1" s="1"/>
  <c r="AG101" i="1" l="1"/>
  <c r="M102" i="1" s="1"/>
  <c r="N102" i="1"/>
  <c r="T102" i="1" s="1"/>
  <c r="W102" i="1" s="1"/>
  <c r="AC102" i="1" s="1"/>
  <c r="AD19" i="1"/>
  <c r="AF19" i="1"/>
  <c r="M20" i="1"/>
  <c r="AD102" i="1" l="1"/>
  <c r="AF102" i="1"/>
  <c r="N20" i="1"/>
  <c r="T20" i="1" s="1"/>
  <c r="AG102" i="1" l="1"/>
  <c r="M103" i="1" s="1"/>
  <c r="N103" i="1"/>
  <c r="T103" i="1" s="1"/>
  <c r="AC20" i="1"/>
  <c r="AG20" i="1" s="1"/>
  <c r="W20" i="1"/>
  <c r="AC103" i="1" l="1"/>
  <c r="W103" i="1"/>
  <c r="AD20" i="1"/>
  <c r="AF20" i="1"/>
  <c r="M21" i="1"/>
  <c r="AD103" i="1" l="1"/>
  <c r="AF103" i="1"/>
  <c r="N21" i="1"/>
  <c r="T21" i="1" s="1"/>
  <c r="W21" i="1" s="1"/>
  <c r="AC21" i="1" s="1"/>
  <c r="AG21" i="1" s="1"/>
  <c r="AG103" i="1" l="1"/>
  <c r="M104" i="1" s="1"/>
  <c r="N104" i="1"/>
  <c r="T104" i="1" s="1"/>
  <c r="AD21" i="1"/>
  <c r="AF21" i="1"/>
  <c r="M22" i="1"/>
  <c r="AC104" i="1" l="1"/>
  <c r="W104" i="1"/>
  <c r="N22" i="1"/>
  <c r="T22" i="1" s="1"/>
  <c r="W22" i="1" s="1"/>
  <c r="AC22" i="1" s="1"/>
  <c r="AG22" i="1" s="1"/>
  <c r="AD104" i="1" l="1"/>
  <c r="AF104" i="1"/>
  <c r="AD22" i="1"/>
  <c r="AF22" i="1"/>
  <c r="M23" i="1"/>
  <c r="AG104" i="1" l="1"/>
  <c r="M105" i="1" s="1"/>
  <c r="N105" i="1"/>
  <c r="T105" i="1" s="1"/>
  <c r="N23" i="1"/>
  <c r="T23" i="1" s="1"/>
  <c r="W23" i="1" s="1"/>
  <c r="AC23" i="1" s="1"/>
  <c r="AG23" i="1" s="1"/>
  <c r="AC105" i="1" l="1"/>
  <c r="W105" i="1"/>
  <c r="AD23" i="1"/>
  <c r="AF23" i="1"/>
  <c r="M24" i="1"/>
  <c r="AD105" i="1" l="1"/>
  <c r="AF105" i="1"/>
  <c r="N24" i="1"/>
  <c r="T24" i="1" s="1"/>
  <c r="W24" i="1" s="1"/>
  <c r="AC24" i="1" s="1"/>
  <c r="AG24" i="1" s="1"/>
  <c r="AG105" i="1" l="1"/>
  <c r="M106" i="1" s="1"/>
  <c r="N106" i="1"/>
  <c r="T106" i="1" s="1"/>
  <c r="AD24" i="1"/>
  <c r="AF24" i="1"/>
  <c r="M25" i="1"/>
  <c r="AC106" i="1" l="1"/>
  <c r="W106" i="1"/>
  <c r="N25" i="1"/>
  <c r="T25" i="1" s="1"/>
  <c r="AD106" i="1" l="1"/>
  <c r="AF106" i="1"/>
  <c r="AC25" i="1"/>
  <c r="AG25" i="1" s="1"/>
  <c r="W25" i="1"/>
  <c r="AG106" i="1" l="1"/>
  <c r="M107" i="1" s="1"/>
  <c r="N107" i="1"/>
  <c r="T107" i="1" s="1"/>
  <c r="AD25" i="1"/>
  <c r="AF25" i="1"/>
  <c r="M26" i="1"/>
  <c r="AC107" i="1" l="1"/>
  <c r="W107" i="1"/>
  <c r="N26" i="1"/>
  <c r="T26" i="1" s="1"/>
  <c r="AD107" i="1" l="1"/>
  <c r="AF107" i="1"/>
  <c r="AC26" i="1"/>
  <c r="AG26" i="1" s="1"/>
  <c r="W26" i="1"/>
  <c r="AG107" i="1" l="1"/>
  <c r="M108" i="1" s="1"/>
  <c r="N108" i="1"/>
  <c r="T108" i="1" s="1"/>
  <c r="W108" i="1" s="1"/>
  <c r="AC108" i="1" s="1"/>
  <c r="AD26" i="1"/>
  <c r="AF26" i="1"/>
  <c r="M27" i="1"/>
  <c r="AD108" i="1" l="1"/>
  <c r="AF108" i="1"/>
  <c r="N27" i="1"/>
  <c r="T27" i="1" s="1"/>
  <c r="AG108" i="1" l="1"/>
  <c r="M109" i="1" s="1"/>
  <c r="AG109" i="1" s="1"/>
  <c r="M110" i="1"/>
  <c r="N109" i="1"/>
  <c r="T109" i="1" s="1"/>
  <c r="AC27" i="1"/>
  <c r="AG27" i="1" s="1"/>
  <c r="W27" i="1"/>
  <c r="AF109" i="1" l="1"/>
  <c r="W109" i="1"/>
  <c r="N110" i="1"/>
  <c r="T110" i="1" s="1"/>
  <c r="AD27" i="1"/>
  <c r="AF27" i="1"/>
  <c r="M28" i="1"/>
  <c r="AC110" i="1" l="1"/>
  <c r="W110" i="1"/>
  <c r="N28" i="1"/>
  <c r="T28" i="1" s="1"/>
  <c r="AD110" i="1" l="1"/>
  <c r="AF110" i="1"/>
  <c r="AC28" i="1"/>
  <c r="AG28" i="1" s="1"/>
  <c r="W28" i="1"/>
  <c r="AG110" i="1" l="1"/>
  <c r="M111" i="1" s="1"/>
  <c r="AG111" i="1" s="1"/>
  <c r="M112" i="1"/>
  <c r="N111" i="1"/>
  <c r="T111" i="1" s="1"/>
  <c r="AD28" i="1"/>
  <c r="AF28" i="1"/>
  <c r="M29" i="1"/>
  <c r="AF111" i="1" l="1"/>
  <c r="W111" i="1"/>
  <c r="N112" i="1"/>
  <c r="T112" i="1" s="1"/>
  <c r="N29" i="1"/>
  <c r="T29" i="1" s="1"/>
  <c r="W29" i="1" s="1"/>
  <c r="AC29" i="1" s="1"/>
  <c r="AG29" i="1" s="1"/>
  <c r="AC112" i="1" l="1"/>
  <c r="W112" i="1"/>
  <c r="AD29" i="1"/>
  <c r="AF29" i="1"/>
  <c r="M30" i="1"/>
  <c r="AD112" i="1" l="1"/>
  <c r="AF112" i="1"/>
  <c r="N30" i="1"/>
  <c r="T30" i="1" s="1"/>
  <c r="AG112" i="1" l="1"/>
  <c r="M113" i="1" s="1"/>
  <c r="AG113" i="1" s="1"/>
  <c r="M114" i="1"/>
  <c r="N113" i="1"/>
  <c r="T113" i="1" s="1"/>
  <c r="AC30" i="1"/>
  <c r="AG30" i="1" s="1"/>
  <c r="W30" i="1"/>
  <c r="AF113" i="1" l="1"/>
  <c r="W113" i="1"/>
  <c r="N114" i="1"/>
  <c r="T114" i="1" s="1"/>
  <c r="AD30" i="1"/>
  <c r="AF30" i="1"/>
  <c r="M31" i="1"/>
  <c r="AC114" i="1" l="1"/>
  <c r="W114" i="1"/>
  <c r="N31" i="1"/>
  <c r="T31" i="1" s="1"/>
  <c r="W31" i="1" s="1"/>
  <c r="AC31" i="1" s="1"/>
  <c r="AG31" i="1" s="1"/>
  <c r="AD114" i="1" l="1"/>
  <c r="AF114" i="1"/>
  <c r="AD31" i="1"/>
  <c r="AF31" i="1"/>
  <c r="M32" i="1"/>
  <c r="AG114" i="1" l="1"/>
  <c r="M115" i="1" s="1"/>
  <c r="N115" i="1"/>
  <c r="T115" i="1" s="1"/>
  <c r="N32" i="1"/>
  <c r="T32" i="1" s="1"/>
  <c r="W32" i="1" s="1"/>
  <c r="AC32" i="1" s="1"/>
  <c r="AG32" i="1" s="1"/>
  <c r="AC115" i="1" l="1"/>
  <c r="W115" i="1"/>
  <c r="AD32" i="1"/>
  <c r="AF32" i="1"/>
  <c r="M33" i="1"/>
  <c r="AD115" i="1" l="1"/>
  <c r="AF115" i="1"/>
  <c r="N33" i="1"/>
  <c r="T33" i="1" s="1"/>
  <c r="AG115" i="1" l="1"/>
  <c r="M116" i="1" s="1"/>
  <c r="N116" i="1"/>
  <c r="T116" i="1" s="1"/>
  <c r="W116" i="1" s="1"/>
  <c r="AC116" i="1" s="1"/>
  <c r="AC33" i="1"/>
  <c r="AG33" i="1" s="1"/>
  <c r="W33" i="1"/>
  <c r="AD116" i="1" l="1"/>
  <c r="AF116" i="1"/>
  <c r="AD33" i="1"/>
  <c r="AF33" i="1"/>
  <c r="M34" i="1"/>
  <c r="AG116" i="1" l="1"/>
  <c r="M117" i="1" s="1"/>
  <c r="N117" i="1"/>
  <c r="T117" i="1" s="1"/>
  <c r="N34" i="1"/>
  <c r="T34" i="1" s="1"/>
  <c r="W34" i="1" s="1"/>
  <c r="AC34" i="1" s="1"/>
  <c r="AG34" i="1" s="1"/>
  <c r="AC117" i="1" l="1"/>
  <c r="W117" i="1"/>
  <c r="AD34" i="1"/>
  <c r="AF34" i="1"/>
  <c r="M35" i="1"/>
  <c r="AD117" i="1" l="1"/>
  <c r="AF117" i="1"/>
  <c r="N35" i="1"/>
  <c r="T35" i="1" s="1"/>
  <c r="AG117" i="1" l="1"/>
  <c r="M118" i="1" s="1"/>
  <c r="N118" i="1"/>
  <c r="T118" i="1" s="1"/>
  <c r="W118" i="1" s="1"/>
  <c r="AC118" i="1" s="1"/>
  <c r="AC35" i="1"/>
  <c r="AG35" i="1" s="1"/>
  <c r="W35" i="1"/>
  <c r="AD118" i="1" l="1"/>
  <c r="AF118" i="1"/>
  <c r="AD35" i="1"/>
  <c r="AF35" i="1"/>
  <c r="M36" i="1"/>
  <c r="AG118" i="1" l="1"/>
  <c r="M119" i="1" s="1"/>
  <c r="N119" i="1"/>
  <c r="T119" i="1" s="1"/>
  <c r="N36" i="1"/>
  <c r="T36" i="1" s="1"/>
  <c r="AC119" i="1" l="1"/>
  <c r="W119" i="1"/>
  <c r="AC36" i="1"/>
  <c r="AG36" i="1" s="1"/>
  <c r="W36" i="1"/>
  <c r="AD119" i="1" l="1"/>
  <c r="AF119" i="1"/>
  <c r="AD36" i="1"/>
  <c r="AF36" i="1"/>
  <c r="M37" i="1"/>
  <c r="AG119" i="1" l="1"/>
  <c r="M120" i="1" s="1"/>
  <c r="AG120" i="1" s="1"/>
  <c r="M121" i="1"/>
  <c r="N120" i="1"/>
  <c r="T120" i="1" s="1"/>
  <c r="N37" i="1"/>
  <c r="T37" i="1" s="1"/>
  <c r="W37" i="1" s="1"/>
  <c r="AC37" i="1" s="1"/>
  <c r="AG37" i="1" s="1"/>
  <c r="AF120" i="1" l="1"/>
  <c r="W120" i="1"/>
  <c r="N121" i="1"/>
  <c r="T121" i="1" s="1"/>
  <c r="W121" i="1" s="1"/>
  <c r="AC121" i="1" s="1"/>
  <c r="AD37" i="1"/>
  <c r="AF37" i="1"/>
  <c r="M38" i="1"/>
  <c r="AD121" i="1" l="1"/>
  <c r="AF121" i="1"/>
  <c r="N38" i="1"/>
  <c r="T38" i="1" s="1"/>
  <c r="W38" i="1" s="1"/>
  <c r="AC38" i="1" s="1"/>
  <c r="AG38" i="1" s="1"/>
  <c r="AG121" i="1" l="1"/>
  <c r="M122" i="1" s="1"/>
  <c r="N122" i="1"/>
  <c r="T122" i="1" s="1"/>
  <c r="AD38" i="1"/>
  <c r="AF38" i="1"/>
  <c r="M39" i="1"/>
  <c r="AC122" i="1" l="1"/>
  <c r="W122" i="1"/>
  <c r="N39" i="1"/>
  <c r="T39" i="1" s="1"/>
  <c r="AD122" i="1" l="1"/>
  <c r="AF122" i="1"/>
  <c r="AC39" i="1"/>
  <c r="AG39" i="1" s="1"/>
  <c r="W39" i="1"/>
  <c r="AG122" i="1" l="1"/>
  <c r="M123" i="1" s="1"/>
  <c r="N123" i="1"/>
  <c r="T123" i="1" s="1"/>
  <c r="W123" i="1" s="1"/>
  <c r="AC123" i="1" s="1"/>
  <c r="AD39" i="1"/>
  <c r="AF39" i="1"/>
  <c r="M40" i="1"/>
  <c r="AD123" i="1" l="1"/>
  <c r="AF123" i="1"/>
  <c r="N40" i="1"/>
  <c r="T40" i="1" s="1"/>
  <c r="AG123" i="1" l="1"/>
  <c r="M124" i="1" s="1"/>
  <c r="N124" i="1"/>
  <c r="T124" i="1" s="1"/>
  <c r="W124" i="1" s="1"/>
  <c r="AC124" i="1" s="1"/>
  <c r="AC40" i="1"/>
  <c r="AG40" i="1" s="1"/>
  <c r="W40" i="1"/>
  <c r="AD124" i="1" l="1"/>
  <c r="AF124" i="1"/>
  <c r="AD40" i="1"/>
  <c r="AF40" i="1"/>
  <c r="M41" i="1"/>
  <c r="AG124" i="1" l="1"/>
  <c r="M125" i="1" s="1"/>
  <c r="N125" i="1"/>
  <c r="T125" i="1" s="1"/>
  <c r="N41" i="1"/>
  <c r="T41" i="1" s="1"/>
  <c r="AC125" i="1" l="1"/>
  <c r="W125" i="1"/>
  <c r="AC41" i="1"/>
  <c r="AG41" i="1" s="1"/>
  <c r="W41" i="1"/>
  <c r="AD125" i="1" l="1"/>
  <c r="AF125" i="1"/>
  <c r="AD41" i="1"/>
  <c r="AF41" i="1"/>
  <c r="M42" i="1"/>
  <c r="AG125" i="1" l="1"/>
  <c r="M126" i="1" s="1"/>
  <c r="AG126" i="1" s="1"/>
  <c r="M127" i="1"/>
  <c r="N126" i="1"/>
  <c r="T126" i="1" s="1"/>
  <c r="N42" i="1"/>
  <c r="T42" i="1" s="1"/>
  <c r="AF126" i="1" l="1"/>
  <c r="W126" i="1"/>
  <c r="N127" i="1"/>
  <c r="T127" i="1" s="1"/>
  <c r="AC42" i="1"/>
  <c r="AG42" i="1" s="1"/>
  <c r="W42" i="1"/>
  <c r="AC127" i="1" l="1"/>
  <c r="W127" i="1"/>
  <c r="AD42" i="1"/>
  <c r="AF42" i="1"/>
  <c r="M43" i="1"/>
  <c r="AD127" i="1" l="1"/>
  <c r="AF127" i="1"/>
  <c r="N43" i="1"/>
  <c r="T43" i="1" s="1"/>
  <c r="W43" i="1" s="1"/>
  <c r="AC43" i="1" s="1"/>
  <c r="AG43" i="1" s="1"/>
  <c r="AG127" i="1" l="1"/>
  <c r="M128" i="1" s="1"/>
  <c r="N128" i="1"/>
  <c r="T128" i="1" s="1"/>
  <c r="AD43" i="1"/>
  <c r="AF43" i="1"/>
  <c r="M44" i="1"/>
  <c r="AC128" i="1" l="1"/>
  <c r="W128" i="1"/>
  <c r="N44" i="1"/>
  <c r="T44" i="1" s="1"/>
  <c r="AD128" i="1" l="1"/>
  <c r="AF128" i="1"/>
  <c r="AC44" i="1"/>
  <c r="AG44" i="1" s="1"/>
  <c r="W44" i="1"/>
  <c r="AG128" i="1" l="1"/>
  <c r="M129" i="1" s="1"/>
  <c r="N129" i="1"/>
  <c r="T129" i="1" s="1"/>
  <c r="AD44" i="1"/>
  <c r="AF44" i="1"/>
  <c r="M45" i="1"/>
  <c r="AC129" i="1" l="1"/>
  <c r="W129" i="1"/>
  <c r="N45" i="1"/>
  <c r="T45" i="1" s="1"/>
  <c r="W45" i="1" s="1"/>
  <c r="AC45" i="1" s="1"/>
  <c r="AG45" i="1" s="1"/>
  <c r="AD129" i="1" l="1"/>
  <c r="AF129" i="1"/>
  <c r="AD45" i="1"/>
  <c r="AF45" i="1"/>
  <c r="M46" i="1"/>
  <c r="AG129" i="1" l="1"/>
  <c r="M130" i="1" s="1"/>
  <c r="N130" i="1"/>
  <c r="T130" i="1" s="1"/>
  <c r="N46" i="1"/>
  <c r="T46" i="1" s="1"/>
  <c r="AC130" i="1" l="1"/>
  <c r="W130" i="1"/>
  <c r="AC46" i="1"/>
  <c r="AG46" i="1" s="1"/>
  <c r="W46" i="1"/>
  <c r="AD130" i="1" l="1"/>
  <c r="AF130" i="1"/>
  <c r="AD46" i="1"/>
  <c r="AF46" i="1"/>
  <c r="M47" i="1"/>
  <c r="AG130" i="1" l="1"/>
  <c r="M131" i="1" s="1"/>
  <c r="N131" i="1"/>
  <c r="T131" i="1" s="1"/>
  <c r="W131" i="1" s="1"/>
  <c r="AC131" i="1" s="1"/>
  <c r="N47" i="1"/>
  <c r="T47" i="1" s="1"/>
  <c r="AD131" i="1" l="1"/>
  <c r="AF131" i="1"/>
  <c r="AC47" i="1"/>
  <c r="AG47" i="1" s="1"/>
  <c r="W47" i="1"/>
  <c r="AG131" i="1" l="1"/>
  <c r="M132" i="1" s="1"/>
  <c r="AG132" i="1" s="1"/>
  <c r="M133" i="1"/>
  <c r="N132" i="1"/>
  <c r="T132" i="1" s="1"/>
  <c r="AD47" i="1"/>
  <c r="AF47" i="1"/>
  <c r="M48" i="1"/>
  <c r="AF132" i="1" l="1"/>
  <c r="W132" i="1"/>
  <c r="N133" i="1"/>
  <c r="T133" i="1" s="1"/>
  <c r="W133" i="1" s="1"/>
  <c r="AC133" i="1" s="1"/>
  <c r="N48" i="1"/>
  <c r="T48" i="1" s="1"/>
  <c r="AD133" i="1" l="1"/>
  <c r="AF133" i="1"/>
  <c r="AC48" i="1"/>
  <c r="AG48" i="1" s="1"/>
  <c r="W48" i="1"/>
  <c r="AG133" i="1" l="1"/>
  <c r="M134" i="1" s="1"/>
  <c r="N134" i="1"/>
  <c r="T134" i="1" s="1"/>
  <c r="AD48" i="1"/>
  <c r="AF48" i="1"/>
  <c r="M49" i="1"/>
  <c r="AC134" i="1" l="1"/>
  <c r="W134" i="1"/>
  <c r="N49" i="1"/>
  <c r="T49" i="1" s="1"/>
  <c r="AD134" i="1" l="1"/>
  <c r="AF134" i="1"/>
  <c r="AC49" i="1"/>
  <c r="AG49" i="1" s="1"/>
  <c r="W49" i="1"/>
  <c r="AG134" i="1" l="1"/>
  <c r="M135" i="1" s="1"/>
  <c r="N135" i="1"/>
  <c r="T135" i="1" s="1"/>
  <c r="W135" i="1" s="1"/>
  <c r="AC135" i="1" s="1"/>
  <c r="AD49" i="1"/>
  <c r="AF49" i="1"/>
  <c r="M50" i="1"/>
  <c r="AD135" i="1" l="1"/>
  <c r="AF135" i="1"/>
  <c r="N50" i="1"/>
  <c r="T50" i="1" s="1"/>
  <c r="W50" i="1" s="1"/>
  <c r="AC50" i="1" s="1"/>
  <c r="AG50" i="1" s="1"/>
  <c r="AG135" i="1" l="1"/>
  <c r="M136" i="1" s="1"/>
  <c r="N136" i="1"/>
  <c r="T136" i="1" s="1"/>
  <c r="W136" i="1" s="1"/>
  <c r="AC136" i="1" s="1"/>
  <c r="AD50" i="1"/>
  <c r="AF50" i="1"/>
  <c r="M51" i="1"/>
  <c r="AD136" i="1" l="1"/>
  <c r="AF136" i="1"/>
  <c r="N51" i="1"/>
  <c r="T51" i="1" s="1"/>
  <c r="AG136" i="1" l="1"/>
  <c r="M137" i="1" s="1"/>
  <c r="AG137" i="1" s="1"/>
  <c r="M138" i="1"/>
  <c r="N137" i="1"/>
  <c r="T137" i="1" s="1"/>
  <c r="AC51" i="1"/>
  <c r="AG51" i="1" s="1"/>
  <c r="W51" i="1"/>
  <c r="AF137" i="1" l="1"/>
  <c r="W137" i="1"/>
  <c r="N138" i="1"/>
  <c r="T138" i="1" s="1"/>
  <c r="W138" i="1" s="1"/>
  <c r="AC138" i="1" s="1"/>
  <c r="AD51" i="1"/>
  <c r="AF51" i="1"/>
  <c r="M52" i="1"/>
  <c r="AD138" i="1" l="1"/>
  <c r="AF138" i="1"/>
  <c r="N52" i="1"/>
  <c r="T52" i="1" s="1"/>
  <c r="AG138" i="1" l="1"/>
  <c r="M139" i="1" s="1"/>
  <c r="AG139" i="1" s="1"/>
  <c r="M140" i="1"/>
  <c r="AG140" i="1" s="1"/>
  <c r="N139" i="1"/>
  <c r="T139" i="1" s="1"/>
  <c r="AC52" i="1"/>
  <c r="AG52" i="1" s="1"/>
  <c r="W52" i="1"/>
  <c r="AF139" i="1" l="1"/>
  <c r="W139" i="1"/>
  <c r="M141" i="1"/>
  <c r="N140" i="1"/>
  <c r="T140" i="1" s="1"/>
  <c r="AD52" i="1"/>
  <c r="AF52" i="1"/>
  <c r="M53" i="1"/>
  <c r="AF140" i="1" l="1"/>
  <c r="W140" i="1"/>
  <c r="N141" i="1"/>
  <c r="T141" i="1" s="1"/>
  <c r="N53" i="1"/>
  <c r="T53" i="1" s="1"/>
  <c r="AC141" i="1" l="1"/>
  <c r="W141" i="1"/>
  <c r="AC53" i="1"/>
  <c r="AG53" i="1" s="1"/>
  <c r="W53" i="1"/>
  <c r="AD141" i="1" l="1"/>
  <c r="AF141" i="1"/>
  <c r="AD53" i="1"/>
  <c r="AF53" i="1"/>
  <c r="M54" i="1"/>
  <c r="AG141" i="1" l="1"/>
  <c r="M142" i="1" s="1"/>
  <c r="N142" i="1"/>
  <c r="T142" i="1" s="1"/>
  <c r="N54" i="1"/>
  <c r="T54" i="1" s="1"/>
  <c r="AC142" i="1" l="1"/>
  <c r="W142" i="1"/>
  <c r="AC54" i="1"/>
  <c r="AG54" i="1" s="1"/>
  <c r="W54" i="1"/>
  <c r="AD142" i="1" l="1"/>
  <c r="AF142" i="1"/>
  <c r="AD54" i="1"/>
  <c r="AF54" i="1"/>
  <c r="M55" i="1"/>
  <c r="AG142" i="1" l="1"/>
  <c r="M143" i="1" s="1"/>
  <c r="N143" i="1"/>
  <c r="T143" i="1" s="1"/>
  <c r="N55" i="1"/>
  <c r="T55" i="1" s="1"/>
  <c r="AC143" i="1" l="1"/>
  <c r="W143" i="1"/>
  <c r="AC55" i="1"/>
  <c r="AG55" i="1" s="1"/>
  <c r="W55" i="1"/>
  <c r="AD143" i="1" l="1"/>
  <c r="AF143" i="1"/>
  <c r="AD55" i="1"/>
  <c r="AF55" i="1"/>
  <c r="M56" i="1"/>
  <c r="AG143" i="1" l="1"/>
  <c r="M144" i="1" s="1"/>
  <c r="N144" i="1"/>
  <c r="T144" i="1" s="1"/>
  <c r="N56" i="1"/>
  <c r="T56" i="1" s="1"/>
  <c r="AC144" i="1" l="1"/>
  <c r="W144" i="1"/>
  <c r="AC56" i="1"/>
  <c r="AG56" i="1" s="1"/>
  <c r="W56" i="1"/>
  <c r="AD144" i="1" l="1"/>
  <c r="AF144" i="1"/>
  <c r="AD56" i="1"/>
  <c r="AF56" i="1"/>
  <c r="M57" i="1"/>
  <c r="AG144" i="1" l="1"/>
  <c r="M145" i="1" s="1"/>
  <c r="N145" i="1"/>
  <c r="T145" i="1" s="1"/>
  <c r="N57" i="1"/>
  <c r="T57" i="1" s="1"/>
  <c r="W57" i="1" s="1"/>
  <c r="AC57" i="1" s="1"/>
  <c r="AG57" i="1" s="1"/>
  <c r="AC145" i="1" l="1"/>
  <c r="W145" i="1"/>
  <c r="AD57" i="1"/>
  <c r="AF57" i="1"/>
  <c r="M58" i="1"/>
  <c r="AD145" i="1" l="1"/>
  <c r="AF145" i="1"/>
  <c r="N58" i="1"/>
  <c r="T58" i="1" s="1"/>
  <c r="W58" i="1" s="1"/>
  <c r="AC58" i="1" s="1"/>
  <c r="AG58" i="1" s="1"/>
  <c r="AG145" i="1" l="1"/>
  <c r="M146" i="1" s="1"/>
  <c r="N146" i="1"/>
  <c r="T146" i="1" s="1"/>
  <c r="AD58" i="1"/>
  <c r="AF58" i="1"/>
  <c r="M59" i="1"/>
  <c r="AC146" i="1" l="1"/>
  <c r="W146" i="1"/>
  <c r="N59" i="1"/>
  <c r="T59" i="1" s="1"/>
  <c r="W59" i="1" s="1"/>
  <c r="AC59" i="1" s="1"/>
  <c r="AG59" i="1" s="1"/>
  <c r="AD146" i="1" l="1"/>
  <c r="AF146" i="1"/>
  <c r="AD59" i="1"/>
  <c r="AF59" i="1"/>
  <c r="M60" i="1"/>
  <c r="AG146" i="1" l="1"/>
  <c r="M147" i="1" s="1"/>
  <c r="N147" i="1"/>
  <c r="T147" i="1" s="1"/>
  <c r="N60" i="1"/>
  <c r="T60" i="1" s="1"/>
  <c r="AC147" i="1" l="1"/>
  <c r="W147" i="1"/>
  <c r="AC60" i="1"/>
  <c r="AG60" i="1" s="1"/>
  <c r="W60" i="1"/>
  <c r="AD147" i="1" l="1"/>
  <c r="AF147" i="1"/>
  <c r="AD60" i="1"/>
  <c r="AF60" i="1"/>
  <c r="M61" i="1"/>
  <c r="AG147" i="1" l="1"/>
  <c r="M148" i="1" s="1"/>
  <c r="N148" i="1"/>
  <c r="T148" i="1" s="1"/>
  <c r="W148" i="1" s="1"/>
  <c r="AC148" i="1" s="1"/>
  <c r="N61" i="1"/>
  <c r="T61" i="1" s="1"/>
  <c r="W61" i="1" s="1"/>
  <c r="AC61" i="1" s="1"/>
  <c r="AG61" i="1" s="1"/>
  <c r="AD148" i="1" l="1"/>
  <c r="AF148" i="1"/>
  <c r="AD61" i="1"/>
  <c r="AF61" i="1"/>
  <c r="M62" i="1"/>
  <c r="AG148" i="1" l="1"/>
  <c r="M149" i="1" s="1"/>
  <c r="N149" i="1"/>
  <c r="T149" i="1" s="1"/>
  <c r="W149" i="1" s="1"/>
  <c r="AC149" i="1" s="1"/>
  <c r="N62" i="1"/>
  <c r="T62" i="1" s="1"/>
  <c r="W62" i="1" s="1"/>
  <c r="AC62" i="1" s="1"/>
  <c r="AG62" i="1" s="1"/>
  <c r="AD149" i="1" l="1"/>
  <c r="AF149" i="1"/>
  <c r="AD62" i="1"/>
  <c r="AF62" i="1"/>
  <c r="M63" i="1"/>
  <c r="AG149" i="1" l="1"/>
  <c r="M150" i="1" s="1"/>
  <c r="N150" i="1"/>
  <c r="T150" i="1" s="1"/>
  <c r="N63" i="1"/>
  <c r="T63" i="1" s="1"/>
  <c r="AC150" i="1" l="1"/>
  <c r="W150" i="1"/>
  <c r="AC63" i="1"/>
  <c r="AG63" i="1" s="1"/>
  <c r="W63" i="1"/>
  <c r="AD150" i="1" l="1"/>
  <c r="AF150" i="1"/>
  <c r="AD63" i="1"/>
  <c r="AF63" i="1"/>
  <c r="M64" i="1"/>
  <c r="AG150" i="1" l="1"/>
  <c r="M151" i="1" s="1"/>
  <c r="N151" i="1"/>
  <c r="T151" i="1" s="1"/>
  <c r="N64" i="1"/>
  <c r="T64" i="1" s="1"/>
  <c r="AC151" i="1" l="1"/>
  <c r="W151" i="1"/>
  <c r="AC64" i="1"/>
  <c r="AG64" i="1" s="1"/>
  <c r="W64" i="1"/>
  <c r="AD151" i="1" l="1"/>
  <c r="AF151" i="1"/>
  <c r="AD64" i="1"/>
  <c r="AF64" i="1"/>
  <c r="M65" i="1"/>
  <c r="AG151" i="1" l="1"/>
  <c r="M152" i="1" s="1"/>
  <c r="N152" i="1"/>
  <c r="T152" i="1" s="1"/>
  <c r="W152" i="1" s="1"/>
  <c r="AC152" i="1" s="1"/>
  <c r="N65" i="1"/>
  <c r="T65" i="1" s="1"/>
  <c r="AD152" i="1" l="1"/>
  <c r="AF152" i="1"/>
  <c r="AC65" i="1"/>
  <c r="AG65" i="1" s="1"/>
  <c r="W65" i="1"/>
  <c r="AG152" i="1" l="1"/>
  <c r="M153" i="1" s="1"/>
  <c r="N153" i="1"/>
  <c r="T153" i="1" s="1"/>
  <c r="AD65" i="1"/>
  <c r="AF65" i="1"/>
  <c r="M66" i="1"/>
  <c r="AC153" i="1" l="1"/>
  <c r="W153" i="1"/>
  <c r="N66" i="1"/>
  <c r="T66" i="1" s="1"/>
  <c r="AD153" i="1" l="1"/>
  <c r="AF153" i="1"/>
  <c r="AC66" i="1"/>
  <c r="AG66" i="1" s="1"/>
  <c r="W66" i="1"/>
  <c r="AG153" i="1" l="1"/>
  <c r="M154" i="1" s="1"/>
  <c r="N154" i="1"/>
  <c r="T154" i="1" s="1"/>
  <c r="W154" i="1" s="1"/>
  <c r="AC154" i="1" s="1"/>
  <c r="AD66" i="1"/>
  <c r="AF66" i="1"/>
  <c r="M67" i="1"/>
  <c r="AD154" i="1" l="1"/>
  <c r="AF154" i="1"/>
  <c r="N67" i="1"/>
  <c r="T67" i="1" s="1"/>
  <c r="AG154" i="1" l="1"/>
  <c r="M155" i="1" s="1"/>
  <c r="N155" i="1"/>
  <c r="T155" i="1" s="1"/>
  <c r="AC67" i="1"/>
  <c r="AG67" i="1" s="1"/>
  <c r="W67" i="1"/>
  <c r="AC155" i="1" l="1"/>
  <c r="W155" i="1"/>
  <c r="AD67" i="1"/>
  <c r="AF67" i="1"/>
  <c r="M68" i="1"/>
  <c r="AD155" i="1" l="1"/>
  <c r="AF155" i="1"/>
  <c r="N68" i="1"/>
  <c r="T68" i="1" s="1"/>
  <c r="W68" i="1" s="1"/>
  <c r="AC68" i="1" s="1"/>
  <c r="AG68" i="1" s="1"/>
  <c r="AG155" i="1" l="1"/>
  <c r="M156" i="1" s="1"/>
  <c r="N156" i="1"/>
  <c r="T156" i="1" s="1"/>
  <c r="AD68" i="1"/>
  <c r="AF68" i="1"/>
  <c r="M69" i="1"/>
  <c r="AC156" i="1" l="1"/>
  <c r="W156" i="1"/>
  <c r="N69" i="1"/>
  <c r="T69" i="1" s="1"/>
  <c r="AD156" i="1" l="1"/>
  <c r="AF156" i="1"/>
  <c r="AC69" i="1"/>
  <c r="AG69" i="1" s="1"/>
  <c r="W69" i="1"/>
  <c r="AG156" i="1" l="1"/>
  <c r="M157" i="1" s="1"/>
  <c r="N157" i="1"/>
  <c r="T157" i="1" s="1"/>
  <c r="W157" i="1" s="1"/>
  <c r="AC157" i="1" s="1"/>
  <c r="AD69" i="1"/>
  <c r="AF69" i="1"/>
  <c r="M70" i="1"/>
  <c r="AD157" i="1" l="1"/>
  <c r="AF157" i="1"/>
  <c r="N70" i="1"/>
  <c r="T70" i="1" s="1"/>
  <c r="AG157" i="1" l="1"/>
  <c r="M158" i="1" s="1"/>
  <c r="N158" i="1"/>
  <c r="T158" i="1" s="1"/>
  <c r="AC70" i="1"/>
  <c r="AG70" i="1" s="1"/>
  <c r="W70" i="1"/>
  <c r="AC158" i="1" l="1"/>
  <c r="W158" i="1"/>
  <c r="AD70" i="1"/>
  <c r="AF70" i="1"/>
  <c r="M71" i="1"/>
  <c r="AD158" i="1" l="1"/>
  <c r="AF158" i="1"/>
  <c r="N71" i="1"/>
  <c r="T71" i="1" s="1"/>
  <c r="AG158" i="1" l="1"/>
  <c r="M159" i="1" s="1"/>
  <c r="N159" i="1"/>
  <c r="T159" i="1" s="1"/>
  <c r="AC71" i="1"/>
  <c r="AG71" i="1" s="1"/>
  <c r="W71" i="1"/>
  <c r="AC159" i="1" l="1"/>
  <c r="W159" i="1"/>
  <c r="AD71" i="1"/>
  <c r="AF71" i="1"/>
  <c r="M72" i="1"/>
  <c r="AD159" i="1" l="1"/>
  <c r="AF159" i="1"/>
  <c r="N72" i="1"/>
  <c r="T72" i="1" s="1"/>
  <c r="W72" i="1" s="1"/>
  <c r="AC72" i="1" s="1"/>
  <c r="AG72" i="1" s="1"/>
  <c r="AG159" i="1" l="1"/>
  <c r="M160" i="1" s="1"/>
  <c r="N160" i="1"/>
  <c r="T160" i="1" s="1"/>
  <c r="AD72" i="1"/>
  <c r="AF72" i="1"/>
  <c r="M73" i="1"/>
  <c r="AC160" i="1" l="1"/>
  <c r="W160" i="1"/>
  <c r="N73" i="1"/>
  <c r="T73" i="1" s="1"/>
  <c r="AD160" i="1" l="1"/>
  <c r="AF160" i="1"/>
  <c r="AC73" i="1"/>
  <c r="AG73" i="1" s="1"/>
  <c r="W73" i="1"/>
  <c r="AG160" i="1" l="1"/>
  <c r="M161" i="1" s="1"/>
  <c r="N161" i="1"/>
  <c r="T161" i="1" s="1"/>
  <c r="AD73" i="1"/>
  <c r="AF73" i="1"/>
  <c r="M74" i="1"/>
  <c r="AC161" i="1" l="1"/>
  <c r="W161" i="1"/>
  <c r="N74" i="1"/>
  <c r="T74" i="1" s="1"/>
  <c r="AD161" i="1" l="1"/>
  <c r="AF161" i="1"/>
  <c r="AC74" i="1"/>
  <c r="AG74" i="1" s="1"/>
  <c r="W74" i="1"/>
  <c r="AG161" i="1" l="1"/>
  <c r="M162" i="1" s="1"/>
  <c r="N162" i="1"/>
  <c r="T162" i="1" s="1"/>
  <c r="AD74" i="1"/>
  <c r="AF74" i="1"/>
  <c r="M75" i="1"/>
  <c r="AG75" i="1" s="1"/>
  <c r="AC162" i="1" l="1"/>
  <c r="W162" i="1"/>
  <c r="M76" i="1"/>
  <c r="N75" i="1"/>
  <c r="T75" i="1" s="1"/>
  <c r="AD162" i="1" l="1"/>
  <c r="AF162" i="1"/>
  <c r="AF75" i="1"/>
  <c r="W75" i="1"/>
  <c r="N76" i="1"/>
  <c r="T76" i="1" s="1"/>
  <c r="AG162" i="1" l="1"/>
  <c r="M163" i="1" s="1"/>
  <c r="AG163" i="1" s="1"/>
  <c r="N163" i="1"/>
  <c r="T163" i="1" s="1"/>
  <c r="AC76" i="1"/>
  <c r="AG76" i="1" s="1"/>
  <c r="W76" i="1"/>
  <c r="AF163" i="1" l="1"/>
  <c r="W163" i="1"/>
  <c r="AD76" i="1"/>
  <c r="AF76" i="1"/>
  <c r="M77" i="1"/>
  <c r="N77" i="1" l="1"/>
  <c r="T77" i="1" s="1"/>
  <c r="AC77" i="1" l="1"/>
  <c r="AG77" i="1" s="1"/>
  <c r="W77" i="1"/>
  <c r="AD77" i="1" l="1"/>
  <c r="AF77" i="1"/>
  <c r="M78" i="1"/>
  <c r="N78" i="1" l="1"/>
  <c r="T78" i="1" s="1"/>
  <c r="AC78" i="1" l="1"/>
  <c r="AG78" i="1" s="1"/>
  <c r="W78" i="1"/>
  <c r="AD78" i="1" l="1"/>
  <c r="AF78" i="1"/>
  <c r="M79" i="1"/>
  <c r="N79" i="1" l="1"/>
  <c r="T79" i="1" s="1"/>
  <c r="W79" i="1" s="1"/>
  <c r="AC79" i="1" s="1"/>
  <c r="AG79" i="1" s="1"/>
  <c r="AD79" i="1" l="1"/>
  <c r="AF79" i="1"/>
  <c r="M80" i="1"/>
  <c r="N80" i="1" l="1"/>
  <c r="T80" i="1" s="1"/>
  <c r="AC80" i="1" l="1"/>
  <c r="AG80" i="1" s="1"/>
  <c r="W80" i="1"/>
  <c r="AD80" i="1" l="1"/>
  <c r="AF80" i="1"/>
  <c r="M81" i="1"/>
  <c r="N81" i="1" l="1"/>
  <c r="T81" i="1" s="1"/>
  <c r="AC81" i="1" l="1"/>
  <c r="AG81" i="1" s="1"/>
  <c r="W81" i="1"/>
  <c r="AD81" i="1" l="1"/>
  <c r="AF81" i="1"/>
  <c r="M82" i="1"/>
  <c r="N82" i="1" l="1"/>
  <c r="T82" i="1" s="1"/>
  <c r="AC82" i="1" l="1"/>
  <c r="AG82" i="1" s="1"/>
  <c r="W82" i="1"/>
  <c r="AD82" i="1" l="1"/>
  <c r="AF8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C111" authorId="0" shapeId="0" xr:uid="{53A5C760-C5AC-A347-A56D-B7378394D3F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Falha do server da IC MARKETS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Não pude cortar a operação com segurança</t>
        </r>
      </text>
    </comment>
  </commentList>
</comments>
</file>

<file path=xl/sharedStrings.xml><?xml version="1.0" encoding="utf-8"?>
<sst xmlns="http://schemas.openxmlformats.org/spreadsheetml/2006/main" count="1916" uniqueCount="317">
  <si>
    <t>ACOUNT</t>
  </si>
  <si>
    <t>Nº
T</t>
  </si>
  <si>
    <t>WEEK DAY</t>
  </si>
  <si>
    <t>ENTRY DAY</t>
  </si>
  <si>
    <t>ZONE</t>
  </si>
  <si>
    <t>PRODUCT GROUP</t>
  </si>
  <si>
    <t>PRODUCT</t>
  </si>
  <si>
    <t>STRATEGY</t>
  </si>
  <si>
    <t>TIMEFRAME</t>
  </si>
  <si>
    <t>S\L</t>
  </si>
  <si>
    <t>W
L</t>
  </si>
  <si>
    <t>Starting Position</t>
  </si>
  <si>
    <t>Stop Loss</t>
  </si>
  <si>
    <t>Take Profit</t>
  </si>
  <si>
    <t>Close Position</t>
  </si>
  <si>
    <t xml:space="preserve">
Print Close</t>
  </si>
  <si>
    <t>Account
Funds</t>
  </si>
  <si>
    <t>€
Risk</t>
  </si>
  <si>
    <t>%
Risk</t>
  </si>
  <si>
    <t>Lot</t>
  </si>
  <si>
    <t>Position
entry</t>
  </si>
  <si>
    <t>Max 
Loss</t>
  </si>
  <si>
    <t>Pips</t>
  </si>
  <si>
    <t>€ 
Loss</t>
  </si>
  <si>
    <t>€ 
Gain</t>
  </si>
  <si>
    <t>RRR</t>
  </si>
  <si>
    <t>Day
Close</t>
  </si>
  <si>
    <t>Closing
price</t>
  </si>
  <si>
    <t>COMMISSION</t>
  </si>
  <si>
    <t>SWAP</t>
  </si>
  <si>
    <t>PROFIT</t>
  </si>
  <si>
    <t>NET PROFIT</t>
  </si>
  <si>
    <t>PIPS CLOSE</t>
  </si>
  <si>
    <t>Currency</t>
  </si>
  <si>
    <t>Grup</t>
  </si>
  <si>
    <t>Avaliação das Entradas:</t>
  </si>
  <si>
    <t>,</t>
  </si>
  <si>
    <t>Sentido</t>
  </si>
  <si>
    <t>Day W</t>
  </si>
  <si>
    <t>Hora</t>
  </si>
  <si>
    <t>Estrategia</t>
  </si>
  <si>
    <t>Time Frame</t>
  </si>
  <si>
    <t>W L</t>
  </si>
  <si>
    <t>O C</t>
  </si>
  <si>
    <t>News</t>
  </si>
  <si>
    <t>Candle</t>
  </si>
  <si>
    <t>Emotional state</t>
  </si>
  <si>
    <t>Short</t>
  </si>
  <si>
    <t>2ª F</t>
  </si>
  <si>
    <t>Manhã</t>
  </si>
  <si>
    <t>Retest</t>
  </si>
  <si>
    <t>1D</t>
  </si>
  <si>
    <t>W</t>
  </si>
  <si>
    <t>O</t>
  </si>
  <si>
    <t>Yes</t>
  </si>
  <si>
    <t>Open</t>
  </si>
  <si>
    <t>Majors</t>
  </si>
  <si>
    <t>Impatience</t>
  </si>
  <si>
    <t>x</t>
  </si>
  <si>
    <t>EURUSD</t>
  </si>
  <si>
    <t>Backtesting</t>
  </si>
  <si>
    <t>30 de Janeiro 2023</t>
  </si>
  <si>
    <t>Tarde</t>
  </si>
  <si>
    <t>AUDNZD</t>
  </si>
  <si>
    <t>Breakout</t>
  </si>
  <si>
    <t>3m</t>
  </si>
  <si>
    <t>short</t>
  </si>
  <si>
    <t>L</t>
  </si>
  <si>
    <t>Long</t>
  </si>
  <si>
    <t>3ª F</t>
  </si>
  <si>
    <t>12h</t>
  </si>
  <si>
    <t>C</t>
  </si>
  <si>
    <t>No</t>
  </si>
  <si>
    <t>Close</t>
  </si>
  <si>
    <t>Minors</t>
  </si>
  <si>
    <t>Fear</t>
  </si>
  <si>
    <t>AUDUSD</t>
  </si>
  <si>
    <t>A</t>
  </si>
  <si>
    <t>Boa entrada - Com estratégia - No timming Correto - Boa probabilidade</t>
  </si>
  <si>
    <t>GBPUSD</t>
  </si>
  <si>
    <t>1m</t>
  </si>
  <si>
    <t>long</t>
  </si>
  <si>
    <t>4ª F</t>
  </si>
  <si>
    <t>Noite</t>
  </si>
  <si>
    <t>Bandeira</t>
  </si>
  <si>
    <t>8h</t>
  </si>
  <si>
    <t>n/a</t>
  </si>
  <si>
    <t>Next</t>
  </si>
  <si>
    <t>Exotics</t>
  </si>
  <si>
    <t>Greed</t>
  </si>
  <si>
    <t>GBPCHF</t>
  </si>
  <si>
    <t>B</t>
  </si>
  <si>
    <t xml:space="preserve">Boa entrada - Com alguma estratégia - Alguma Probabilidade </t>
  </si>
  <si>
    <t>CADJPY</t>
  </si>
  <si>
    <t>5ª F</t>
  </si>
  <si>
    <t>Continuation</t>
  </si>
  <si>
    <t>4h</t>
  </si>
  <si>
    <t>Indices</t>
  </si>
  <si>
    <t>Hope</t>
  </si>
  <si>
    <t xml:space="preserve">Razoavél - Com alguma estratégia - Mas impulsiva </t>
  </si>
  <si>
    <t xml:space="preserve">Testing em tempo real </t>
  </si>
  <si>
    <t>31 de janeiro 2023</t>
  </si>
  <si>
    <t>6ª F</t>
  </si>
  <si>
    <t>2h</t>
  </si>
  <si>
    <t>Commod</t>
  </si>
  <si>
    <t>Confidence</t>
  </si>
  <si>
    <t>USDCAD</t>
  </si>
  <si>
    <t>D</t>
  </si>
  <si>
    <t xml:space="preserve">Má entrada - Sem estratégia e impulsiva </t>
  </si>
  <si>
    <t>2 de Fevereiro 2023</t>
  </si>
  <si>
    <t>15m</t>
  </si>
  <si>
    <t>1h</t>
  </si>
  <si>
    <t>Uncertainty</t>
  </si>
  <si>
    <t>USDCHF</t>
  </si>
  <si>
    <t>3 de Fevereiro 2023</t>
  </si>
  <si>
    <t>30m</t>
  </si>
  <si>
    <t>Serene</t>
  </si>
  <si>
    <t>USDJPY</t>
  </si>
  <si>
    <t>Avaliação da Gestão</t>
  </si>
  <si>
    <t>5m</t>
  </si>
  <si>
    <t>AUDCAD</t>
  </si>
  <si>
    <t xml:space="preserve">Trailing Stop com a sequência de máximos e minimos - Confortável com a posição - Posição encaminhada </t>
  </si>
  <si>
    <t>AUDCHF</t>
  </si>
  <si>
    <t>Trailing Stop com a sequência de máximos e minimos - Preocupação com a posição - Posição a perder estrutura</t>
  </si>
  <si>
    <t>EURAUD</t>
  </si>
  <si>
    <t>AUDJPY</t>
  </si>
  <si>
    <t xml:space="preserve">Alteração do stop sem estratégia de máximos e minimos - Preocupação com a posição </t>
  </si>
  <si>
    <t>6 de Fevereiro 2023</t>
  </si>
  <si>
    <t>1S</t>
  </si>
  <si>
    <t>Sem Gestão - Não Fechei após a 1ª/2ª vela negativa</t>
  </si>
  <si>
    <t>8 de Fevereiro 2023</t>
  </si>
  <si>
    <t>USDSGD</t>
  </si>
  <si>
    <t>6h</t>
  </si>
  <si>
    <t>CADCHF</t>
  </si>
  <si>
    <t>15s</t>
  </si>
  <si>
    <t>Avaliação da Saída</t>
  </si>
  <si>
    <t>15 de Fevereiro 2023</t>
  </si>
  <si>
    <t>CHFJPY</t>
  </si>
  <si>
    <t xml:space="preserve">Take Profit no ponto definido inicialmente - saida automática </t>
  </si>
  <si>
    <t>16 de Fevereiro 2023</t>
  </si>
  <si>
    <t xml:space="preserve">Stop-Win em trailing Sop com estratégia </t>
  </si>
  <si>
    <t>GBPJPY</t>
  </si>
  <si>
    <t>EURCAD</t>
  </si>
  <si>
    <t xml:space="preserve">Stop-Loss Parcial devido a falha na posição - Reversão da posição a negativo - Stop de Segurança </t>
  </si>
  <si>
    <t>EURCHF</t>
  </si>
  <si>
    <t>Stop-Loss Total - Má gestão de saída da posição</t>
  </si>
  <si>
    <t>EURJPY</t>
  </si>
  <si>
    <t>EURGBP</t>
  </si>
  <si>
    <t>E</t>
  </si>
  <si>
    <t>Fecho Manual - Desconforto com a posição/ 1ª Vela negativa / Reversão</t>
  </si>
  <si>
    <t>EURNZD</t>
  </si>
  <si>
    <t>GBPAUD</t>
  </si>
  <si>
    <t>17 de Fevereiro 2023</t>
  </si>
  <si>
    <t>GBPCAD</t>
  </si>
  <si>
    <t>31 de Março 2023</t>
  </si>
  <si>
    <t>NZDUSD</t>
  </si>
  <si>
    <t>11 de Abril 2023</t>
  </si>
  <si>
    <t>GBPNZD</t>
  </si>
  <si>
    <t>12 de Abril 2023</t>
  </si>
  <si>
    <t>NZDCAD</t>
  </si>
  <si>
    <t>NZDCHF</t>
  </si>
  <si>
    <t>13 de Abril 2023</t>
  </si>
  <si>
    <t>NZDJPY</t>
  </si>
  <si>
    <t>18 de Abril 2023</t>
  </si>
  <si>
    <t>28 de Abril 2023</t>
  </si>
  <si>
    <t>3 de Mario 2023</t>
  </si>
  <si>
    <t>AUDSGD</t>
  </si>
  <si>
    <t>3 de Maio 2023</t>
  </si>
  <si>
    <t>CHFSGD</t>
  </si>
  <si>
    <t>4 de Maio 2023</t>
  </si>
  <si>
    <t>EURDKK</t>
  </si>
  <si>
    <t>5 de Maio 2023</t>
  </si>
  <si>
    <t>EURHKD</t>
  </si>
  <si>
    <t>8 de Maio 2023</t>
  </si>
  <si>
    <t>EURNOK</t>
  </si>
  <si>
    <t>9 de Maio 2023</t>
  </si>
  <si>
    <t>EURPLN</t>
  </si>
  <si>
    <t>2º MT Ic Market demo</t>
  </si>
  <si>
    <t>11 de Maio 2023</t>
  </si>
  <si>
    <t>EURSEK</t>
  </si>
  <si>
    <t>EURSGD</t>
  </si>
  <si>
    <t>12 de Maio 2023</t>
  </si>
  <si>
    <t>EURTRY</t>
  </si>
  <si>
    <t>17 de Maio 2023</t>
  </si>
  <si>
    <t>EURZAR</t>
  </si>
  <si>
    <t>18 de Maio 2023</t>
  </si>
  <si>
    <t>GBPDKK</t>
  </si>
  <si>
    <t>GBPNOK</t>
  </si>
  <si>
    <t>19 de Maio 2023</t>
  </si>
  <si>
    <t>GBPSEK</t>
  </si>
  <si>
    <t>24 de Maio 2023</t>
  </si>
  <si>
    <t>GBPSGD</t>
  </si>
  <si>
    <t>26 de Maio 2023</t>
  </si>
  <si>
    <t>GBPTRY</t>
  </si>
  <si>
    <t>30 de Maio 2023</t>
  </si>
  <si>
    <t>NOKJPY</t>
  </si>
  <si>
    <t>7 de Junho 2023</t>
  </si>
  <si>
    <t>NOKSEK</t>
  </si>
  <si>
    <t>15 de Junho 2023</t>
  </si>
  <si>
    <t>SEKJPY</t>
  </si>
  <si>
    <t>USDCNH</t>
  </si>
  <si>
    <t>22 de Junho 2023</t>
  </si>
  <si>
    <t>USDCZK</t>
  </si>
  <si>
    <t>USDDKK</t>
  </si>
  <si>
    <t>26 de Junho 2023</t>
  </si>
  <si>
    <t>USDHKD</t>
  </si>
  <si>
    <t>3º MT Ic Market demo</t>
  </si>
  <si>
    <t>5 de Julho 2023</t>
  </si>
  <si>
    <t>USDHUF</t>
  </si>
  <si>
    <t>w</t>
  </si>
  <si>
    <t>USDMXN</t>
  </si>
  <si>
    <t>20 de Julho 2023</t>
  </si>
  <si>
    <t>USDNOK</t>
  </si>
  <si>
    <t>USDPLN</t>
  </si>
  <si>
    <t>USDRUB</t>
  </si>
  <si>
    <t>21 de Julho 2023</t>
  </si>
  <si>
    <t>USDSEK</t>
  </si>
  <si>
    <t xml:space="preserve">MFF Challenge </t>
  </si>
  <si>
    <t>1 de Agosto 2023</t>
  </si>
  <si>
    <t>USDTHB</t>
  </si>
  <si>
    <t>4 de Agosto 2023</t>
  </si>
  <si>
    <t>USDTRY</t>
  </si>
  <si>
    <t>8 de Agosto 2023</t>
  </si>
  <si>
    <t>USDZAR</t>
  </si>
  <si>
    <t>XAGEUR</t>
  </si>
  <si>
    <t>28 de Agosto 2023</t>
  </si>
  <si>
    <t>XAGUSD</t>
  </si>
  <si>
    <t>30 de Agosto 2023</t>
  </si>
  <si>
    <t>XNGUSD</t>
  </si>
  <si>
    <t>XTIUSD</t>
  </si>
  <si>
    <t>XBRUSD</t>
  </si>
  <si>
    <t>31 de Agosto 2023</t>
  </si>
  <si>
    <t>XPTUSD</t>
  </si>
  <si>
    <t>Fusion demo</t>
  </si>
  <si>
    <t>29 de Setembro 2023</t>
  </si>
  <si>
    <t>XPDUSD</t>
  </si>
  <si>
    <t>Trading view (não consegui encontrar no Fusion o wheat)</t>
  </si>
  <si>
    <t>8 de Novembro 2023</t>
  </si>
  <si>
    <t>Wheatusd</t>
  </si>
  <si>
    <t>XAUEUR</t>
  </si>
  <si>
    <t>3 de Novembro 2023</t>
  </si>
  <si>
    <t>XAUUSD</t>
  </si>
  <si>
    <t>Trading view (não consegui apanhar a tempo que pôr no fusion)</t>
  </si>
  <si>
    <t>14 de Novembro 2023</t>
  </si>
  <si>
    <t>XAUAUD</t>
  </si>
  <si>
    <t>30 de Novembro 2023</t>
  </si>
  <si>
    <t>SUGAR</t>
  </si>
  <si>
    <t>DE30</t>
  </si>
  <si>
    <t>indices</t>
  </si>
  <si>
    <t>Nasdaq</t>
  </si>
  <si>
    <t>Futures</t>
  </si>
  <si>
    <t>28 de Novembro 2023</t>
  </si>
  <si>
    <t>6 de Dezembro 2023</t>
  </si>
  <si>
    <t>5 de Dezembro 2023</t>
  </si>
  <si>
    <t>21 de Dezembro 2023</t>
  </si>
  <si>
    <t>22 de Janeiro 2024</t>
  </si>
  <si>
    <t>Londres</t>
  </si>
  <si>
    <t>ICT</t>
  </si>
  <si>
    <t>2 de Fevereiro 2024</t>
  </si>
  <si>
    <t>7 de Janeiro 2024</t>
  </si>
  <si>
    <t>FTMO challenge 1</t>
  </si>
  <si>
    <t>19 de Março 2024</t>
  </si>
  <si>
    <t>21 de Março 2024</t>
  </si>
  <si>
    <t>26 de Março 2024</t>
  </si>
  <si>
    <t>28 de Março 2024</t>
  </si>
  <si>
    <t>2 de Abril 2024</t>
  </si>
  <si>
    <t>NY</t>
  </si>
  <si>
    <t>3 de Abril 2024</t>
  </si>
  <si>
    <t>4 de Abril 2024</t>
  </si>
  <si>
    <t>5 de Abril 2024</t>
  </si>
  <si>
    <t>9 de Abril 2024</t>
  </si>
  <si>
    <t>10 de Abril 2024</t>
  </si>
  <si>
    <t>6 de Maio 2024</t>
  </si>
  <si>
    <t>7 de Maio 2024</t>
  </si>
  <si>
    <t>8 de Maio 2024</t>
  </si>
  <si>
    <t>9 de Maio 2024</t>
  </si>
  <si>
    <t>13 de Maio 2024</t>
  </si>
  <si>
    <t>20 de Maio 2024</t>
  </si>
  <si>
    <t>27 de Maio 2024</t>
  </si>
  <si>
    <t>30 de Maio 2024</t>
  </si>
  <si>
    <t>3 de Junho 2024</t>
  </si>
  <si>
    <t>4 de Junho 2024</t>
  </si>
  <si>
    <t>6 de Junho 2024</t>
  </si>
  <si>
    <t>7 de Junho 2024</t>
  </si>
  <si>
    <t>12 de Junho 2024</t>
  </si>
  <si>
    <t>13 de Junho 2024</t>
  </si>
  <si>
    <t>14 de Junho 2024</t>
  </si>
  <si>
    <t>17 de Junho 2024</t>
  </si>
  <si>
    <t>18 de Junho 2024</t>
  </si>
  <si>
    <t>UK100</t>
  </si>
  <si>
    <t>19 de Junho 2024</t>
  </si>
  <si>
    <t>20 de Junho 2024</t>
  </si>
  <si>
    <t>24 de Junho 2024</t>
  </si>
  <si>
    <t>25 de Junho 2024</t>
  </si>
  <si>
    <t>2m</t>
  </si>
  <si>
    <t>26 de Junho 2024</t>
  </si>
  <si>
    <t>27 de Junho 2024</t>
  </si>
  <si>
    <t>4m</t>
  </si>
  <si>
    <t>1 de Julho 2024</t>
  </si>
  <si>
    <t>2 de Julho 2024</t>
  </si>
  <si>
    <t>3 de Julho 2024</t>
  </si>
  <si>
    <t>4 de Julho 2024</t>
  </si>
  <si>
    <t>15 de Julho 2024</t>
  </si>
  <si>
    <t>17 de Julho 2024</t>
  </si>
  <si>
    <t>18 de Julho 2024</t>
  </si>
  <si>
    <t>22 de Julho 2024</t>
  </si>
  <si>
    <t>23 de Julho 2024</t>
  </si>
  <si>
    <t>24 de Julho 2024</t>
  </si>
  <si>
    <t>25 de Julho 2024</t>
  </si>
  <si>
    <t>26 de Julhp 2024</t>
  </si>
  <si>
    <t>26 de Julho 2024</t>
  </si>
  <si>
    <t>29 de Julho 2024</t>
  </si>
  <si>
    <t>30 de Julho 2024</t>
  </si>
  <si>
    <t>31 de Julho 2024</t>
  </si>
  <si>
    <t>1 de Agosto 2024</t>
  </si>
  <si>
    <t>2 de Agosto 2024</t>
  </si>
  <si>
    <t>5 de Agosto 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</si>
</sst>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[$-816]d/mmm;@"/>
    <numFmt numFmtId="165" formatCode="h:mm;@"/>
    <numFmt numFmtId="166" formatCode="_-* #,##0\ &quot;€&quot;_-;\-* #,##0\ &quot;€&quot;_-;_-* &quot;-&quot;??\ &quot;€&quot;_-;_-@_-"/>
    <numFmt numFmtId="167" formatCode="#,##0.00\ &quot;€&quot;"/>
    <numFmt numFmtId="168" formatCode="0.00000"/>
    <numFmt numFmtId="169" formatCode="0.000"/>
    <numFmt numFmtId="170" formatCode="0.0%"/>
    <numFmt numFmtId="171" formatCode="dd/mm\ hh:mm;@"/>
    <numFmt numFmtId="172" formatCode="#,##0.00\ [$€-1]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1"/>
      <color rgb="FF000000"/>
      <name val="Tahoma"/>
      <family val="2"/>
    </font>
    <font>
      <sz val="8"/>
      <color theme="1"/>
      <name val="Tahoma"/>
      <family val="2"/>
    </font>
    <font>
      <sz val="8"/>
      <name val="Calibri"/>
      <family val="2"/>
      <scheme val="minor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b/>
      <sz val="8"/>
      <color theme="1"/>
      <name val="Tahoma"/>
      <family val="2"/>
    </font>
    <font>
      <b/>
      <sz val="8"/>
      <color theme="7" tint="-0.499984740745262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color rgb="FFC00000"/>
      <name val="Tahoma"/>
      <family val="2"/>
    </font>
    <font>
      <b/>
      <sz val="8"/>
      <color theme="8" tint="-0.499984740745262"/>
      <name val="Tahoma"/>
      <family val="2"/>
    </font>
    <font>
      <b/>
      <sz val="8"/>
      <color theme="9" tint="-0.249977111117893"/>
      <name val="Tahoma"/>
      <family val="2"/>
    </font>
    <font>
      <sz val="1"/>
      <color theme="1"/>
      <name val="Tahoma"/>
      <family val="2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7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8"/>
      <color rgb="FFE60000"/>
      <name val="Tahoma"/>
      <family val="2"/>
    </font>
    <font>
      <sz val="8"/>
      <color rgb="FF375623"/>
      <name val="Tahoma"/>
      <family val="2"/>
    </font>
    <font>
      <sz val="8"/>
      <color rgb="FFFF0000"/>
      <name val="Tahoma"/>
      <family val="2"/>
    </font>
    <font>
      <sz val="8"/>
      <color theme="9" tint="-0.499984740745262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rgb="FFFFFDDE"/>
      </patternFill>
    </fill>
    <fill>
      <patternFill patternType="solid">
        <fgColor rgb="FFFFDA66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2">
    <xf numFmtId="0" fontId="0" fillId="0" borderId="0" xfId="0"/>
    <xf numFmtId="0" fontId="3" fillId="3" borderId="0" xfId="0" applyFont="1" applyFill="1" applyAlignment="1">
      <alignment vertical="top"/>
    </xf>
    <xf numFmtId="0" fontId="9" fillId="3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9" fontId="4" fillId="0" borderId="0" xfId="3" applyFont="1" applyAlignment="1">
      <alignment horizontal="center" vertical="center"/>
    </xf>
    <xf numFmtId="0" fontId="10" fillId="3" borderId="6" xfId="0" applyFont="1" applyFill="1" applyBorder="1" applyAlignment="1">
      <alignment vertical="center"/>
    </xf>
    <xf numFmtId="167" fontId="11" fillId="8" borderId="6" xfId="2" applyNumberFormat="1" applyFont="1" applyFill="1" applyBorder="1" applyAlignment="1">
      <alignment horizontal="left"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right" vertical="center"/>
    </xf>
    <xf numFmtId="164" fontId="6" fillId="3" borderId="6" xfId="0" applyNumberFormat="1" applyFont="1" applyFill="1" applyBorder="1" applyAlignment="1">
      <alignment horizontal="center" vertical="center"/>
    </xf>
    <xf numFmtId="171" fontId="6" fillId="3" borderId="6" xfId="0" applyNumberFormat="1" applyFont="1" applyFill="1" applyBorder="1" applyAlignment="1">
      <alignment horizontal="center" vertical="center"/>
    </xf>
    <xf numFmtId="165" fontId="6" fillId="3" borderId="6" xfId="0" applyNumberFormat="1" applyFont="1" applyFill="1" applyBorder="1" applyAlignment="1">
      <alignment horizontal="center" vertical="center"/>
    </xf>
    <xf numFmtId="49" fontId="6" fillId="3" borderId="6" xfId="2" applyNumberFormat="1" applyFont="1" applyFill="1" applyBorder="1" applyAlignment="1">
      <alignment horizontal="center" vertical="center"/>
    </xf>
    <xf numFmtId="166" fontId="6" fillId="3" borderId="6" xfId="2" applyNumberFormat="1" applyFont="1" applyFill="1" applyBorder="1" applyAlignment="1">
      <alignment horizontal="center" vertical="center"/>
    </xf>
    <xf numFmtId="166" fontId="6" fillId="3" borderId="7" xfId="2" applyNumberFormat="1" applyFont="1" applyFill="1" applyBorder="1" applyAlignment="1">
      <alignment horizontal="center" vertical="center"/>
    </xf>
    <xf numFmtId="167" fontId="6" fillId="3" borderId="5" xfId="0" applyNumberFormat="1" applyFont="1" applyFill="1" applyBorder="1" applyAlignment="1">
      <alignment horizontal="right" vertical="center"/>
    </xf>
    <xf numFmtId="167" fontId="6" fillId="4" borderId="6" xfId="2" applyNumberFormat="1" applyFont="1" applyFill="1" applyBorder="1" applyAlignment="1">
      <alignment horizontal="right" vertical="center"/>
    </xf>
    <xf numFmtId="10" fontId="6" fillId="3" borderId="6" xfId="3" applyNumberFormat="1" applyFont="1" applyFill="1" applyBorder="1" applyAlignment="1">
      <alignment horizontal="right" vertical="center"/>
    </xf>
    <xf numFmtId="2" fontId="6" fillId="3" borderId="6" xfId="1" applyNumberFormat="1" applyFont="1" applyFill="1" applyBorder="1" applyAlignment="1">
      <alignment horizontal="center" vertical="center"/>
    </xf>
    <xf numFmtId="168" fontId="6" fillId="4" borderId="6" xfId="1" applyNumberFormat="1" applyFont="1" applyFill="1" applyBorder="1" applyAlignment="1">
      <alignment horizontal="right" vertical="center"/>
    </xf>
    <xf numFmtId="167" fontId="6" fillId="4" borderId="7" xfId="2" applyNumberFormat="1" applyFont="1" applyFill="1" applyBorder="1" applyAlignment="1">
      <alignment horizontal="right" vertical="center"/>
    </xf>
    <xf numFmtId="167" fontId="6" fillId="4" borderId="10" xfId="2" applyNumberFormat="1" applyFont="1" applyFill="1" applyBorder="1" applyAlignment="1">
      <alignment horizontal="right" vertical="center"/>
    </xf>
    <xf numFmtId="2" fontId="6" fillId="4" borderId="10" xfId="1" applyNumberFormat="1" applyFont="1" applyFill="1" applyBorder="1" applyAlignment="1">
      <alignment horizontal="right" vertical="center"/>
    </xf>
    <xf numFmtId="167" fontId="6" fillId="3" borderId="6" xfId="2" applyNumberFormat="1" applyFont="1" applyFill="1" applyBorder="1" applyAlignment="1">
      <alignment horizontal="right" vertical="center"/>
    </xf>
    <xf numFmtId="168" fontId="6" fillId="3" borderId="7" xfId="0" applyNumberFormat="1" applyFont="1" applyFill="1" applyBorder="1" applyAlignment="1">
      <alignment horizontal="right" vertical="center"/>
    </xf>
    <xf numFmtId="168" fontId="6" fillId="3" borderId="8" xfId="0" applyNumberFormat="1" applyFont="1" applyFill="1" applyBorder="1" applyAlignment="1">
      <alignment horizontal="right" vertical="center"/>
    </xf>
    <xf numFmtId="168" fontId="6" fillId="3" borderId="6" xfId="1" applyNumberFormat="1" applyFont="1" applyFill="1" applyBorder="1" applyAlignment="1">
      <alignment horizontal="right" vertical="center"/>
    </xf>
    <xf numFmtId="0" fontId="7" fillId="3" borderId="6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left" vertical="center"/>
    </xf>
    <xf numFmtId="169" fontId="10" fillId="7" borderId="6" xfId="0" applyNumberFormat="1" applyFont="1" applyFill="1" applyBorder="1" applyAlignment="1">
      <alignment horizontal="left" vertical="center"/>
    </xf>
    <xf numFmtId="0" fontId="4" fillId="3" borderId="0" xfId="0" applyFont="1" applyFill="1" applyAlignment="1">
      <alignment vertical="center"/>
    </xf>
    <xf numFmtId="172" fontId="11" fillId="8" borderId="6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15" fillId="3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2" fillId="3" borderId="0" xfId="0" applyFont="1" applyFill="1" applyAlignment="1">
      <alignment vertical="center"/>
    </xf>
    <xf numFmtId="49" fontId="7" fillId="3" borderId="7" xfId="2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70" fontId="6" fillId="3" borderId="0" xfId="1" applyNumberFormat="1" applyFont="1" applyFill="1" applyBorder="1" applyAlignment="1">
      <alignment vertical="center"/>
    </xf>
    <xf numFmtId="0" fontId="17" fillId="4" borderId="5" xfId="0" applyFont="1" applyFill="1" applyBorder="1" applyAlignment="1">
      <alignment horizontal="center" vertical="center"/>
    </xf>
    <xf numFmtId="0" fontId="18" fillId="3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168" fontId="4" fillId="3" borderId="0" xfId="0" applyNumberFormat="1" applyFont="1" applyFill="1" applyAlignment="1">
      <alignment vertical="center"/>
    </xf>
    <xf numFmtId="168" fontId="4" fillId="0" borderId="0" xfId="0" applyNumberFormat="1" applyFont="1" applyAlignment="1">
      <alignment vertical="center"/>
    </xf>
    <xf numFmtId="0" fontId="9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center" vertical="center" wrapText="1"/>
    </xf>
    <xf numFmtId="168" fontId="6" fillId="9" borderId="6" xfId="1" applyNumberFormat="1" applyFont="1" applyFill="1" applyBorder="1" applyAlignment="1">
      <alignment horizontal="right" vertical="center"/>
    </xf>
    <xf numFmtId="167" fontId="6" fillId="9" borderId="6" xfId="2" applyNumberFormat="1" applyFont="1" applyFill="1" applyBorder="1" applyAlignment="1">
      <alignment horizontal="right" vertical="center"/>
    </xf>
    <xf numFmtId="10" fontId="6" fillId="4" borderId="6" xfId="3" applyNumberFormat="1" applyFont="1" applyFill="1" applyBorder="1" applyAlignment="1">
      <alignment horizontal="right" vertical="center"/>
    </xf>
    <xf numFmtId="0" fontId="16" fillId="4" borderId="8" xfId="4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167" fontId="23" fillId="10" borderId="6" xfId="0" applyNumberFormat="1" applyFont="1" applyFill="1" applyBorder="1" applyAlignment="1">
      <alignment horizontal="right" vertical="center"/>
    </xf>
    <xf numFmtId="167" fontId="22" fillId="10" borderId="6" xfId="0" applyNumberFormat="1" applyFont="1" applyFill="1" applyBorder="1" applyAlignment="1">
      <alignment horizontal="right" vertical="center"/>
    </xf>
    <xf numFmtId="0" fontId="6" fillId="3" borderId="6" xfId="0" applyFont="1" applyFill="1" applyBorder="1" applyAlignment="1">
      <alignment vertical="top"/>
    </xf>
    <xf numFmtId="0" fontId="6" fillId="3" borderId="6" xfId="0" applyFont="1" applyFill="1" applyBorder="1" applyAlignment="1">
      <alignment vertical="center"/>
    </xf>
    <xf numFmtId="0" fontId="8" fillId="2" borderId="23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top" wrapText="1"/>
    </xf>
    <xf numFmtId="0" fontId="13" fillId="2" borderId="2" xfId="0" applyFont="1" applyFill="1" applyBorder="1" applyAlignment="1">
      <alignment horizontal="center" vertical="top" wrapText="1"/>
    </xf>
    <xf numFmtId="0" fontId="13" fillId="2" borderId="3" xfId="0" applyFont="1" applyFill="1" applyBorder="1" applyAlignment="1">
      <alignment horizontal="center" vertical="top" wrapText="1"/>
    </xf>
    <xf numFmtId="0" fontId="11" fillId="5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vertical="center"/>
    </xf>
    <xf numFmtId="167" fontId="11" fillId="6" borderId="6" xfId="0" applyNumberFormat="1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top" wrapText="1"/>
    </xf>
    <xf numFmtId="0" fontId="14" fillId="2" borderId="4" xfId="0" applyFont="1" applyFill="1" applyBorder="1" applyAlignment="1">
      <alignment horizontal="center" vertical="top" wrapText="1"/>
    </xf>
    <xf numFmtId="0" fontId="12" fillId="2" borderId="11" xfId="0" applyFont="1" applyFill="1" applyBorder="1" applyAlignment="1">
      <alignment horizontal="center" vertical="top" wrapText="1"/>
    </xf>
    <xf numFmtId="0" fontId="12" fillId="2" borderId="4" xfId="0" applyFont="1" applyFill="1" applyBorder="1" applyAlignment="1">
      <alignment horizontal="center" vertical="top" wrapText="1"/>
    </xf>
    <xf numFmtId="0" fontId="12" fillId="2" borderId="18" xfId="0" applyFont="1" applyFill="1" applyBorder="1" applyAlignment="1">
      <alignment horizontal="center" vertical="top" wrapText="1"/>
    </xf>
    <xf numFmtId="0" fontId="14" fillId="2" borderId="28" xfId="0" applyFont="1" applyFill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 wrapText="1"/>
    </xf>
    <xf numFmtId="0" fontId="19" fillId="2" borderId="22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31" xfId="0" applyFont="1" applyFill="1" applyBorder="1" applyAlignment="1">
      <alignment vertical="top"/>
    </xf>
    <xf numFmtId="0" fontId="0" fillId="3" borderId="8" xfId="0" applyFill="1" applyBorder="1" applyAlignment="1">
      <alignment horizontal="center"/>
    </xf>
    <xf numFmtId="0" fontId="6" fillId="3" borderId="9" xfId="0" applyFont="1" applyFill="1" applyBorder="1" applyAlignment="1">
      <alignment horizontal="center" vertical="center"/>
    </xf>
    <xf numFmtId="49" fontId="7" fillId="12" borderId="7" xfId="2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right" vertical="center" wrapText="1"/>
    </xf>
    <xf numFmtId="0" fontId="4" fillId="3" borderId="33" xfId="0" applyFont="1" applyFill="1" applyBorder="1" applyAlignment="1">
      <alignment horizontal="right" vertical="center" wrapText="1"/>
    </xf>
    <xf numFmtId="167" fontId="6" fillId="9" borderId="7" xfId="2" applyNumberFormat="1" applyFont="1" applyFill="1" applyBorder="1" applyAlignment="1">
      <alignment horizontal="right" vertical="center"/>
    </xf>
    <xf numFmtId="167" fontId="6" fillId="9" borderId="10" xfId="2" applyNumberFormat="1" applyFont="1" applyFill="1" applyBorder="1" applyAlignment="1">
      <alignment horizontal="right" vertical="center"/>
    </xf>
    <xf numFmtId="2" fontId="6" fillId="9" borderId="10" xfId="1" applyNumberFormat="1" applyFont="1" applyFill="1" applyBorder="1" applyAlignment="1">
      <alignment horizontal="right" vertical="center"/>
    </xf>
    <xf numFmtId="10" fontId="6" fillId="9" borderId="6" xfId="3" applyNumberFormat="1" applyFont="1" applyFill="1" applyBorder="1" applyAlignment="1">
      <alignment horizontal="right" vertical="center"/>
    </xf>
    <xf numFmtId="167" fontId="18" fillId="9" borderId="5" xfId="0" applyNumberFormat="1" applyFont="1" applyFill="1" applyBorder="1" applyAlignment="1">
      <alignment horizontal="center" vertical="center"/>
    </xf>
    <xf numFmtId="49" fontId="7" fillId="13" borderId="7" xfId="2" applyNumberFormat="1" applyFont="1" applyFill="1" applyBorder="1" applyAlignment="1">
      <alignment horizontal="center" vertical="center" wrapText="1"/>
    </xf>
    <xf numFmtId="168" fontId="4" fillId="3" borderId="7" xfId="0" applyNumberFormat="1" applyFont="1" applyFill="1" applyBorder="1" applyAlignment="1">
      <alignment horizontal="right" vertical="center"/>
    </xf>
    <xf numFmtId="168" fontId="4" fillId="3" borderId="6" xfId="1" applyNumberFormat="1" applyFont="1" applyFill="1" applyBorder="1" applyAlignment="1">
      <alignment horizontal="right" vertical="center"/>
    </xf>
    <xf numFmtId="168" fontId="4" fillId="3" borderId="8" xfId="0" applyNumberFormat="1" applyFont="1" applyFill="1" applyBorder="1" applyAlignment="1">
      <alignment horizontal="right" vertical="center"/>
    </xf>
    <xf numFmtId="0" fontId="16" fillId="3" borderId="8" xfId="4" applyFill="1" applyBorder="1" applyAlignment="1">
      <alignment horizontal="center" vertical="center"/>
    </xf>
    <xf numFmtId="0" fontId="6" fillId="3" borderId="31" xfId="0" applyFont="1" applyFill="1" applyBorder="1" applyAlignment="1">
      <alignment horizontal="left" vertical="center"/>
    </xf>
    <xf numFmtId="0" fontId="16" fillId="3" borderId="8" xfId="4" applyFill="1" applyBorder="1" applyAlignment="1">
      <alignment horizontal="center"/>
    </xf>
    <xf numFmtId="0" fontId="6" fillId="14" borderId="31" xfId="0" applyFont="1" applyFill="1" applyBorder="1" applyAlignment="1">
      <alignment horizontal="left" vertical="center"/>
    </xf>
    <xf numFmtId="0" fontId="6" fillId="10" borderId="31" xfId="0" applyFont="1" applyFill="1" applyBorder="1" applyAlignment="1">
      <alignment horizontal="left" vertical="center"/>
    </xf>
    <xf numFmtId="167" fontId="24" fillId="10" borderId="6" xfId="0" applyNumberFormat="1" applyFont="1" applyFill="1" applyBorder="1" applyAlignment="1">
      <alignment horizontal="right" vertical="center"/>
    </xf>
    <xf numFmtId="167" fontId="17" fillId="4" borderId="5" xfId="0" applyNumberFormat="1" applyFont="1" applyFill="1" applyBorder="1" applyAlignment="1">
      <alignment horizontal="center" vertical="center"/>
    </xf>
    <xf numFmtId="167" fontId="25" fillId="10" borderId="6" xfId="0" applyNumberFormat="1" applyFont="1" applyFill="1" applyBorder="1" applyAlignment="1">
      <alignment horizontal="right" vertical="center"/>
    </xf>
    <xf numFmtId="49" fontId="7" fillId="15" borderId="7" xfId="2" applyNumberFormat="1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center" vertical="top" wrapText="1"/>
    </xf>
  </cellXfs>
  <cellStyles count="5">
    <cellStyle name="Hiperligação" xfId="4" builtinId="8"/>
    <cellStyle name="Moeda" xfId="2" builtinId="4"/>
    <cellStyle name="Normal" xfId="0" builtinId="0"/>
    <cellStyle name="Percentagem" xfId="3" builtinId="5"/>
    <cellStyle name="Vírgula" xfId="1" builtinId="3"/>
  </cellStyles>
  <dxfs count="35">
    <dxf>
      <font>
        <b val="0"/>
        <i val="0"/>
        <color rgb="FFE60000"/>
      </font>
    </dxf>
    <dxf>
      <font>
        <color theme="9" tint="-0.24994659260841701"/>
      </font>
    </dxf>
    <dxf>
      <font>
        <color theme="9" tint="-0.499984740745262"/>
      </font>
    </dxf>
    <dxf>
      <font>
        <color rgb="FFE60000"/>
      </font>
    </dxf>
    <dxf>
      <font>
        <color theme="9" tint="-0.499984740745262"/>
      </font>
    </dxf>
    <dxf>
      <font>
        <color rgb="FFE60000"/>
      </font>
    </dxf>
    <dxf>
      <font>
        <color theme="9" tint="-0.499984740745262"/>
      </font>
    </dxf>
    <dxf>
      <font>
        <color rgb="FFE60000"/>
      </font>
    </dxf>
    <dxf>
      <fill>
        <patternFill>
          <bgColor rgb="FF00B050"/>
        </patternFill>
      </fill>
    </dxf>
    <dxf>
      <fill>
        <patternFill>
          <bgColor rgb="FFFF3F3F"/>
        </patternFill>
      </fill>
    </dxf>
    <dxf>
      <fill>
        <patternFill>
          <bgColor rgb="FF0DA334"/>
        </patternFill>
      </fill>
    </dxf>
    <dxf>
      <font>
        <color rgb="FF9A7200"/>
      </font>
    </dxf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 val="0"/>
        <i val="0"/>
        <color rgb="FFE60000"/>
      </font>
    </dxf>
    <dxf>
      <font>
        <color theme="9" tint="-0.24994659260841701"/>
      </font>
    </dxf>
    <dxf>
      <font>
        <color theme="9" tint="-0.499984740745262"/>
      </font>
    </dxf>
    <dxf>
      <font>
        <color rgb="FFE60000"/>
      </font>
    </dxf>
    <dxf>
      <fill>
        <patternFill>
          <bgColor rgb="FF00B050"/>
        </patternFill>
      </fill>
    </dxf>
    <dxf>
      <fill>
        <patternFill>
          <bgColor rgb="FFFF3F3F"/>
        </patternFill>
      </fill>
    </dxf>
    <dxf>
      <fill>
        <patternFill>
          <bgColor rgb="FF0DA334"/>
        </patternFill>
      </fill>
    </dxf>
    <dxf>
      <font>
        <color rgb="FF9A7200"/>
      </font>
    </dxf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</dxf>
    <dxf>
      <font>
        <color rgb="FFE60000"/>
      </font>
    </dxf>
    <dxf>
      <font>
        <b val="0"/>
        <i val="0"/>
        <color rgb="FFE60000"/>
      </font>
    </dxf>
    <dxf>
      <font>
        <color theme="9" tint="-0.24994659260841701"/>
      </font>
    </dxf>
    <dxf>
      <font>
        <color rgb="FF9A7200"/>
      </font>
    </dxf>
    <dxf>
      <fill>
        <patternFill>
          <bgColor rgb="FF0DA334"/>
        </patternFill>
      </fill>
    </dxf>
    <dxf>
      <fill>
        <patternFill>
          <bgColor rgb="FF00B050"/>
        </patternFill>
      </fill>
    </dxf>
    <dxf>
      <fill>
        <patternFill>
          <bgColor rgb="FFFF3F3F"/>
        </patternFill>
      </fill>
    </dxf>
    <dxf>
      <font>
        <color theme="1"/>
      </font>
    </dxf>
  </dxfs>
  <tableStyles count="1" defaultTableStyle="TableStyleMedium2" defaultPivotStyle="PivotStyleLight16">
    <tableStyle name="Estilo de Tabela 1" pivot="0" count="1" xr9:uid="{C1B2C99E-5765-4BD2-8A85-97D6BA4122FF}">
      <tableStyleElement type="headerRow" dxfId="34"/>
    </tableStyle>
  </tableStyles>
  <colors>
    <mruColors>
      <color rgb="FFFFDA66"/>
      <color rgb="FFE60000"/>
      <color rgb="FF9A7200"/>
      <color rgb="FF005426"/>
      <color rgb="FF007635"/>
      <color rgb="FF009A46"/>
      <color rgb="FF0DA334"/>
      <color rgb="FFFF3F3F"/>
      <color rgb="FFDA9100"/>
      <color rgb="FFEE9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radingview.com/x/DrhWhGBl/" TargetMode="External"/><Relationship Id="rId117" Type="http://schemas.openxmlformats.org/officeDocument/2006/relationships/hyperlink" Target="https://www.tradingview.com/x/i1cAwdQj/" TargetMode="External"/><Relationship Id="rId21" Type="http://schemas.openxmlformats.org/officeDocument/2006/relationships/hyperlink" Target="https://www.tradingview.com/x/SExglLT8/" TargetMode="External"/><Relationship Id="rId42" Type="http://schemas.openxmlformats.org/officeDocument/2006/relationships/hyperlink" Target="https://www.tradingview.com/x/Qhjb6txp/" TargetMode="External"/><Relationship Id="rId47" Type="http://schemas.openxmlformats.org/officeDocument/2006/relationships/hyperlink" Target="https://www.tradingview.com/x/kW3o7AX1/" TargetMode="External"/><Relationship Id="rId63" Type="http://schemas.openxmlformats.org/officeDocument/2006/relationships/hyperlink" Target="https://www.tradingview.com/x/aN2vLyGg/" TargetMode="External"/><Relationship Id="rId68" Type="http://schemas.openxmlformats.org/officeDocument/2006/relationships/hyperlink" Target="https://www.tradingview.com/x/vwXb1E8i/" TargetMode="External"/><Relationship Id="rId84" Type="http://schemas.openxmlformats.org/officeDocument/2006/relationships/hyperlink" Target="https://www.tradingview.com/x/HTEEpPZl/" TargetMode="External"/><Relationship Id="rId89" Type="http://schemas.openxmlformats.org/officeDocument/2006/relationships/hyperlink" Target="https://www.tradingview.com/x/mx4g6CrG/" TargetMode="External"/><Relationship Id="rId112" Type="http://schemas.openxmlformats.org/officeDocument/2006/relationships/hyperlink" Target="https://www.tradingview.com/x/i1cAwdQj/" TargetMode="External"/><Relationship Id="rId16" Type="http://schemas.openxmlformats.org/officeDocument/2006/relationships/hyperlink" Target="https://www.tradingview.com/x/54b5kdxR/" TargetMode="External"/><Relationship Id="rId107" Type="http://schemas.openxmlformats.org/officeDocument/2006/relationships/hyperlink" Target="https://www.tradingview.com/x/idzAprgA/" TargetMode="External"/><Relationship Id="rId11" Type="http://schemas.openxmlformats.org/officeDocument/2006/relationships/hyperlink" Target="https://www.tradingview.com/x/zeT6nsYU/" TargetMode="External"/><Relationship Id="rId32" Type="http://schemas.openxmlformats.org/officeDocument/2006/relationships/hyperlink" Target="https://www.tradingview.com/x/xqkGvB9m/" TargetMode="External"/><Relationship Id="rId37" Type="http://schemas.openxmlformats.org/officeDocument/2006/relationships/hyperlink" Target="https://www.tradingview.com/x/mx4g6CrG/" TargetMode="External"/><Relationship Id="rId53" Type="http://schemas.openxmlformats.org/officeDocument/2006/relationships/hyperlink" Target="https://www.tradingview.com/x/ChUtNoj0/" TargetMode="External"/><Relationship Id="rId58" Type="http://schemas.openxmlformats.org/officeDocument/2006/relationships/hyperlink" Target="https://www.tradingview.com/x/aN2vLyGg/" TargetMode="External"/><Relationship Id="rId74" Type="http://schemas.openxmlformats.org/officeDocument/2006/relationships/hyperlink" Target="https://www.tradingview.com/x/iC6iSmsk/" TargetMode="External"/><Relationship Id="rId79" Type="http://schemas.openxmlformats.org/officeDocument/2006/relationships/hyperlink" Target="https://www.tradingview.com/x/iC6iSmsk/" TargetMode="External"/><Relationship Id="rId102" Type="http://schemas.openxmlformats.org/officeDocument/2006/relationships/hyperlink" Target="https://www.tradingview.com/x/yq7wV3I0/" TargetMode="External"/><Relationship Id="rId5" Type="http://schemas.openxmlformats.org/officeDocument/2006/relationships/hyperlink" Target="https://www.tradingview.com/x/J2Fnos8B/" TargetMode="External"/><Relationship Id="rId90" Type="http://schemas.openxmlformats.org/officeDocument/2006/relationships/hyperlink" Target="https://www.tradingview.com/x/mx4g6CrG/" TargetMode="External"/><Relationship Id="rId95" Type="http://schemas.openxmlformats.org/officeDocument/2006/relationships/hyperlink" Target="https://www.tradingview.com/x/mx4g6CrG/" TargetMode="External"/><Relationship Id="rId22" Type="http://schemas.openxmlformats.org/officeDocument/2006/relationships/hyperlink" Target="https://www.tradingview.com/x/VT479OdR/" TargetMode="External"/><Relationship Id="rId27" Type="http://schemas.openxmlformats.org/officeDocument/2006/relationships/hyperlink" Target="https://www.tradingview.com/x/VWmFEvTg/" TargetMode="External"/><Relationship Id="rId43" Type="http://schemas.openxmlformats.org/officeDocument/2006/relationships/hyperlink" Target="https://www.tradingview.com/x/V9Fdwt2M/" TargetMode="External"/><Relationship Id="rId48" Type="http://schemas.openxmlformats.org/officeDocument/2006/relationships/hyperlink" Target="https://www.tradingview.com/x/ey4s8Ap9/" TargetMode="External"/><Relationship Id="rId64" Type="http://schemas.openxmlformats.org/officeDocument/2006/relationships/hyperlink" Target="https://www.tradingview.com/x/vwXb1E8i/" TargetMode="External"/><Relationship Id="rId69" Type="http://schemas.openxmlformats.org/officeDocument/2006/relationships/hyperlink" Target="https://www.tradingview.com/x/vwXb1E8i/" TargetMode="External"/><Relationship Id="rId113" Type="http://schemas.openxmlformats.org/officeDocument/2006/relationships/hyperlink" Target="https://www.tradingview.com/x/i1cAwdQj/" TargetMode="External"/><Relationship Id="rId118" Type="http://schemas.openxmlformats.org/officeDocument/2006/relationships/hyperlink" Target="https://www.tradingview.com/x/i1cAwdQj/" TargetMode="External"/><Relationship Id="rId80" Type="http://schemas.openxmlformats.org/officeDocument/2006/relationships/hyperlink" Target="https://www.tradingview.com/x/HTEEpPZl/" TargetMode="External"/><Relationship Id="rId85" Type="http://schemas.openxmlformats.org/officeDocument/2006/relationships/hyperlink" Target="https://www.tradingview.com/x/HTEEpPZl/" TargetMode="External"/><Relationship Id="rId12" Type="http://schemas.openxmlformats.org/officeDocument/2006/relationships/hyperlink" Target="https://www.tradingview.com/x/9GVopU35/" TargetMode="External"/><Relationship Id="rId17" Type="http://schemas.openxmlformats.org/officeDocument/2006/relationships/hyperlink" Target="https://www.tradingview.com/x/OLUNTuhi/" TargetMode="External"/><Relationship Id="rId33" Type="http://schemas.openxmlformats.org/officeDocument/2006/relationships/hyperlink" Target="https://www.tradingview.com/x/aN2vLyGg/" TargetMode="External"/><Relationship Id="rId38" Type="http://schemas.openxmlformats.org/officeDocument/2006/relationships/hyperlink" Target="https://www.tradingview.com/x/yq7wV3I0/" TargetMode="External"/><Relationship Id="rId59" Type="http://schemas.openxmlformats.org/officeDocument/2006/relationships/hyperlink" Target="https://www.tradingview.com/x/aN2vLyGg/" TargetMode="External"/><Relationship Id="rId103" Type="http://schemas.openxmlformats.org/officeDocument/2006/relationships/hyperlink" Target="https://www.tradingview.com/x/yq7wV3I0/" TargetMode="External"/><Relationship Id="rId108" Type="http://schemas.openxmlformats.org/officeDocument/2006/relationships/hyperlink" Target="https://www.tradingview.com/x/idzAprgA/" TargetMode="External"/><Relationship Id="rId54" Type="http://schemas.openxmlformats.org/officeDocument/2006/relationships/hyperlink" Target="https://www.tradingview.com/x/IxZ2USVj/" TargetMode="External"/><Relationship Id="rId70" Type="http://schemas.openxmlformats.org/officeDocument/2006/relationships/hyperlink" Target="https://www.tradingview.com/x/vwXb1E8i/" TargetMode="External"/><Relationship Id="rId75" Type="http://schemas.openxmlformats.org/officeDocument/2006/relationships/hyperlink" Target="https://www.tradingview.com/x/iC6iSmsk/" TargetMode="External"/><Relationship Id="rId91" Type="http://schemas.openxmlformats.org/officeDocument/2006/relationships/hyperlink" Target="https://www.tradingview.com/x/mx4g6CrG/" TargetMode="External"/><Relationship Id="rId96" Type="http://schemas.openxmlformats.org/officeDocument/2006/relationships/hyperlink" Target="https://www.tradingview.com/x/yq7wV3I0/" TargetMode="External"/><Relationship Id="rId1" Type="http://schemas.openxmlformats.org/officeDocument/2006/relationships/hyperlink" Target="https://www.tradingview.com/x/hcrzIZv7/" TargetMode="External"/><Relationship Id="rId6" Type="http://schemas.openxmlformats.org/officeDocument/2006/relationships/hyperlink" Target="https://www.tradingview.com/x/rWZfiIpf/" TargetMode="External"/><Relationship Id="rId23" Type="http://schemas.openxmlformats.org/officeDocument/2006/relationships/hyperlink" Target="https://www.tradingview.com/x/4Mh0cQDK/" TargetMode="External"/><Relationship Id="rId28" Type="http://schemas.openxmlformats.org/officeDocument/2006/relationships/hyperlink" Target="https://www.tradingview.com/x/mKnfSszB/" TargetMode="External"/><Relationship Id="rId49" Type="http://schemas.openxmlformats.org/officeDocument/2006/relationships/hyperlink" Target="https://www.tradingview.com/x/8164WTP1/" TargetMode="External"/><Relationship Id="rId114" Type="http://schemas.openxmlformats.org/officeDocument/2006/relationships/hyperlink" Target="https://www.tradingview.com/x/i1cAwdQj/" TargetMode="External"/><Relationship Id="rId119" Type="http://schemas.openxmlformats.org/officeDocument/2006/relationships/hyperlink" Target="https://www.tradingview.com/x/i1cAwdQj/" TargetMode="External"/><Relationship Id="rId44" Type="http://schemas.openxmlformats.org/officeDocument/2006/relationships/hyperlink" Target="https://www.tradingview.com/x/Q10M334s/" TargetMode="External"/><Relationship Id="rId60" Type="http://schemas.openxmlformats.org/officeDocument/2006/relationships/hyperlink" Target="https://www.tradingview.com/x/aN2vLyGg/" TargetMode="External"/><Relationship Id="rId65" Type="http://schemas.openxmlformats.org/officeDocument/2006/relationships/hyperlink" Target="https://www.tradingview.com/x/vwXb1E8i/" TargetMode="External"/><Relationship Id="rId81" Type="http://schemas.openxmlformats.org/officeDocument/2006/relationships/hyperlink" Target="https://www.tradingview.com/x/HTEEpPZl/" TargetMode="External"/><Relationship Id="rId86" Type="http://schemas.openxmlformats.org/officeDocument/2006/relationships/hyperlink" Target="https://www.tradingview.com/x/HTEEpPZl/" TargetMode="External"/><Relationship Id="rId4" Type="http://schemas.openxmlformats.org/officeDocument/2006/relationships/hyperlink" Target="https://www.tradingview.com/x/I6c4RB26/" TargetMode="External"/><Relationship Id="rId9" Type="http://schemas.openxmlformats.org/officeDocument/2006/relationships/hyperlink" Target="https://www.tradingview.com/x/e72OGSUp/" TargetMode="External"/><Relationship Id="rId13" Type="http://schemas.openxmlformats.org/officeDocument/2006/relationships/hyperlink" Target="https://www.tradingview.com/x/KIdVrS9h/" TargetMode="External"/><Relationship Id="rId18" Type="http://schemas.openxmlformats.org/officeDocument/2006/relationships/hyperlink" Target="https://www.tradingview.com/x/qmOvnK0D/" TargetMode="External"/><Relationship Id="rId39" Type="http://schemas.openxmlformats.org/officeDocument/2006/relationships/hyperlink" Target="https://www.tradingview.com/x/idzAprgA/" TargetMode="External"/><Relationship Id="rId109" Type="http://schemas.openxmlformats.org/officeDocument/2006/relationships/hyperlink" Target="https://www.tradingview.com/x/idzAprgA/" TargetMode="External"/><Relationship Id="rId34" Type="http://schemas.openxmlformats.org/officeDocument/2006/relationships/hyperlink" Target="https://www.tradingview.com/x/vwXb1E8i/" TargetMode="External"/><Relationship Id="rId50" Type="http://schemas.openxmlformats.org/officeDocument/2006/relationships/hyperlink" Target="https://www.tradingview.com/x/nODtgTfI/" TargetMode="External"/><Relationship Id="rId55" Type="http://schemas.openxmlformats.org/officeDocument/2006/relationships/hyperlink" Target="https://www.tradingview.com/x/i1cAwdQj/" TargetMode="External"/><Relationship Id="rId76" Type="http://schemas.openxmlformats.org/officeDocument/2006/relationships/hyperlink" Target="https://www.tradingview.com/x/iC6iSmsk/" TargetMode="External"/><Relationship Id="rId97" Type="http://schemas.openxmlformats.org/officeDocument/2006/relationships/hyperlink" Target="https://www.tradingview.com/x/yq7wV3I0/" TargetMode="External"/><Relationship Id="rId104" Type="http://schemas.openxmlformats.org/officeDocument/2006/relationships/hyperlink" Target="https://www.tradingview.com/x/idzAprgA/" TargetMode="External"/><Relationship Id="rId120" Type="http://schemas.openxmlformats.org/officeDocument/2006/relationships/printerSettings" Target="../printerSettings/printerSettings1.bin"/><Relationship Id="rId7" Type="http://schemas.openxmlformats.org/officeDocument/2006/relationships/hyperlink" Target="https://www.tradingview.com/x/N9h8F6UJ/" TargetMode="External"/><Relationship Id="rId71" Type="http://schemas.openxmlformats.org/officeDocument/2006/relationships/hyperlink" Target="https://www.tradingview.com/x/vwXb1E8i/" TargetMode="External"/><Relationship Id="rId92" Type="http://schemas.openxmlformats.org/officeDocument/2006/relationships/hyperlink" Target="https://www.tradingview.com/x/mx4g6CrG/" TargetMode="External"/><Relationship Id="rId2" Type="http://schemas.openxmlformats.org/officeDocument/2006/relationships/hyperlink" Target="https://www.tradingview.com/x/6dQuixpS/" TargetMode="External"/><Relationship Id="rId29" Type="http://schemas.openxmlformats.org/officeDocument/2006/relationships/hyperlink" Target="https://www.tradingview.com/x/YnGe3eda/" TargetMode="External"/><Relationship Id="rId24" Type="http://schemas.openxmlformats.org/officeDocument/2006/relationships/hyperlink" Target="https://www.tradingview.com/x/CLTqR8jJ/" TargetMode="External"/><Relationship Id="rId40" Type="http://schemas.openxmlformats.org/officeDocument/2006/relationships/hyperlink" Target="https://www.tradingview.com/x/M5sESYcZ/" TargetMode="External"/><Relationship Id="rId45" Type="http://schemas.openxmlformats.org/officeDocument/2006/relationships/hyperlink" Target="https://www.tradingview.com/x/BNZWUgo8/" TargetMode="External"/><Relationship Id="rId66" Type="http://schemas.openxmlformats.org/officeDocument/2006/relationships/hyperlink" Target="https://www.tradingview.com/x/vwXb1E8i/" TargetMode="External"/><Relationship Id="rId87" Type="http://schemas.openxmlformats.org/officeDocument/2006/relationships/hyperlink" Target="https://www.tradingview.com/x/HTEEpPZl/" TargetMode="External"/><Relationship Id="rId110" Type="http://schemas.openxmlformats.org/officeDocument/2006/relationships/hyperlink" Target="https://www.tradingview.com/x/idzAprgA/" TargetMode="External"/><Relationship Id="rId115" Type="http://schemas.openxmlformats.org/officeDocument/2006/relationships/hyperlink" Target="https://www.tradingview.com/x/i1cAwdQj/" TargetMode="External"/><Relationship Id="rId61" Type="http://schemas.openxmlformats.org/officeDocument/2006/relationships/hyperlink" Target="https://www.tradingview.com/x/aN2vLyGg/" TargetMode="External"/><Relationship Id="rId82" Type="http://schemas.openxmlformats.org/officeDocument/2006/relationships/hyperlink" Target="https://www.tradingview.com/x/HTEEpPZl/" TargetMode="External"/><Relationship Id="rId19" Type="http://schemas.openxmlformats.org/officeDocument/2006/relationships/hyperlink" Target="https://www.tradingview.com/x/2bhLK8iZ/" TargetMode="External"/><Relationship Id="rId14" Type="http://schemas.openxmlformats.org/officeDocument/2006/relationships/hyperlink" Target="https://www.tradingview.com/x/hylS7w4C/" TargetMode="External"/><Relationship Id="rId30" Type="http://schemas.openxmlformats.org/officeDocument/2006/relationships/hyperlink" Target="https://www.tradingview.com/x/zhmrzCK8/" TargetMode="External"/><Relationship Id="rId35" Type="http://schemas.openxmlformats.org/officeDocument/2006/relationships/hyperlink" Target="https://www.tradingview.com/x/iC6iSmsk/" TargetMode="External"/><Relationship Id="rId56" Type="http://schemas.openxmlformats.org/officeDocument/2006/relationships/hyperlink" Target="https://www.tradingview.com/x/aN2vLyGg/" TargetMode="External"/><Relationship Id="rId77" Type="http://schemas.openxmlformats.org/officeDocument/2006/relationships/hyperlink" Target="https://www.tradingview.com/x/iC6iSmsk/" TargetMode="External"/><Relationship Id="rId100" Type="http://schemas.openxmlformats.org/officeDocument/2006/relationships/hyperlink" Target="https://www.tradingview.com/x/yq7wV3I0/" TargetMode="External"/><Relationship Id="rId105" Type="http://schemas.openxmlformats.org/officeDocument/2006/relationships/hyperlink" Target="https://www.tradingview.com/x/idzAprgA/" TargetMode="External"/><Relationship Id="rId8" Type="http://schemas.openxmlformats.org/officeDocument/2006/relationships/hyperlink" Target="https://www.tradingview.com/x/Nw7Pmsfc/" TargetMode="External"/><Relationship Id="rId51" Type="http://schemas.openxmlformats.org/officeDocument/2006/relationships/hyperlink" Target="https://www.tradingview.com/x/fgtpH1SC/" TargetMode="External"/><Relationship Id="rId72" Type="http://schemas.openxmlformats.org/officeDocument/2006/relationships/hyperlink" Target="https://www.tradingview.com/x/iC6iSmsk/" TargetMode="External"/><Relationship Id="rId93" Type="http://schemas.openxmlformats.org/officeDocument/2006/relationships/hyperlink" Target="https://www.tradingview.com/x/mx4g6CrG/" TargetMode="External"/><Relationship Id="rId98" Type="http://schemas.openxmlformats.org/officeDocument/2006/relationships/hyperlink" Target="https://www.tradingview.com/x/yq7wV3I0/" TargetMode="External"/><Relationship Id="rId121" Type="http://schemas.openxmlformats.org/officeDocument/2006/relationships/vmlDrawing" Target="../drawings/vmlDrawing1.vml"/><Relationship Id="rId3" Type="http://schemas.openxmlformats.org/officeDocument/2006/relationships/hyperlink" Target="https://www.tradingview.com/x/G072lXtA/" TargetMode="External"/><Relationship Id="rId25" Type="http://schemas.openxmlformats.org/officeDocument/2006/relationships/hyperlink" Target="https://www.tradingview.com/x/Ite0gR9h/" TargetMode="External"/><Relationship Id="rId46" Type="http://schemas.openxmlformats.org/officeDocument/2006/relationships/hyperlink" Target="https://www.tradingview.com/x/Y95366oA/" TargetMode="External"/><Relationship Id="rId67" Type="http://schemas.openxmlformats.org/officeDocument/2006/relationships/hyperlink" Target="https://www.tradingview.com/x/vwXb1E8i/" TargetMode="External"/><Relationship Id="rId116" Type="http://schemas.openxmlformats.org/officeDocument/2006/relationships/hyperlink" Target="https://www.tradingview.com/x/i1cAwdQj/" TargetMode="External"/><Relationship Id="rId20" Type="http://schemas.openxmlformats.org/officeDocument/2006/relationships/hyperlink" Target="https://www.tradingview.com/x/bgzNaQ8l/" TargetMode="External"/><Relationship Id="rId41" Type="http://schemas.openxmlformats.org/officeDocument/2006/relationships/hyperlink" Target="https://www.tradingview.com/x/76fA38eY/" TargetMode="External"/><Relationship Id="rId62" Type="http://schemas.openxmlformats.org/officeDocument/2006/relationships/hyperlink" Target="https://www.tradingview.com/x/aN2vLyGg/" TargetMode="External"/><Relationship Id="rId83" Type="http://schemas.openxmlformats.org/officeDocument/2006/relationships/hyperlink" Target="https://www.tradingview.com/x/HTEEpPZl/" TargetMode="External"/><Relationship Id="rId88" Type="http://schemas.openxmlformats.org/officeDocument/2006/relationships/hyperlink" Target="https://www.tradingview.com/x/mx4g6CrG/" TargetMode="External"/><Relationship Id="rId111" Type="http://schemas.openxmlformats.org/officeDocument/2006/relationships/hyperlink" Target="https://www.tradingview.com/x/idzAprgA/" TargetMode="External"/><Relationship Id="rId15" Type="http://schemas.openxmlformats.org/officeDocument/2006/relationships/hyperlink" Target="https://www.tradingview.com/x/Wb2dLTlJ/" TargetMode="External"/><Relationship Id="rId36" Type="http://schemas.openxmlformats.org/officeDocument/2006/relationships/hyperlink" Target="https://www.tradingview.com/x/HTEEpPZl/" TargetMode="External"/><Relationship Id="rId57" Type="http://schemas.openxmlformats.org/officeDocument/2006/relationships/hyperlink" Target="https://www.tradingview.com/x/aN2vLyGg/" TargetMode="External"/><Relationship Id="rId106" Type="http://schemas.openxmlformats.org/officeDocument/2006/relationships/hyperlink" Target="https://www.tradingview.com/x/idzAprgA/" TargetMode="External"/><Relationship Id="rId10" Type="http://schemas.openxmlformats.org/officeDocument/2006/relationships/hyperlink" Target="https://www.tradingview.com/x/KGcg4Af5/" TargetMode="External"/><Relationship Id="rId31" Type="http://schemas.openxmlformats.org/officeDocument/2006/relationships/hyperlink" Target="https://www.tradingview.com/x/E6B4ybxL/" TargetMode="External"/><Relationship Id="rId52" Type="http://schemas.openxmlformats.org/officeDocument/2006/relationships/hyperlink" Target="https://www.tradingview.com/x/eBXNVkh8/" TargetMode="External"/><Relationship Id="rId73" Type="http://schemas.openxmlformats.org/officeDocument/2006/relationships/hyperlink" Target="https://www.tradingview.com/x/iC6iSmsk/" TargetMode="External"/><Relationship Id="rId78" Type="http://schemas.openxmlformats.org/officeDocument/2006/relationships/hyperlink" Target="https://www.tradingview.com/x/iC6iSmsk/" TargetMode="External"/><Relationship Id="rId94" Type="http://schemas.openxmlformats.org/officeDocument/2006/relationships/hyperlink" Target="https://www.tradingview.com/x/mx4g6CrG/" TargetMode="External"/><Relationship Id="rId99" Type="http://schemas.openxmlformats.org/officeDocument/2006/relationships/hyperlink" Target="https://www.tradingview.com/x/yq7wV3I0/" TargetMode="External"/><Relationship Id="rId101" Type="http://schemas.openxmlformats.org/officeDocument/2006/relationships/hyperlink" Target="https://www.tradingview.com/x/yq7wV3I0/" TargetMode="External"/><Relationship Id="rId12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218"/>
  <sheetViews>
    <sheetView tabSelected="1" zoomScale="110" zoomScaleNormal="75" workbookViewId="0">
      <pane ySplit="5" topLeftCell="A6" activePane="bottomLeft" state="frozen"/>
      <selection pane="bottomLeft" activeCell="AH10" sqref="AH10"/>
      <selection activeCell="L7" activeCellId="1" sqref="L7:S7 H3:I3"/>
    </sheetView>
  </sheetViews>
  <sheetFormatPr defaultColWidth="125.42578125" defaultRowHeight="15" customHeight="1"/>
  <cols>
    <col min="1" max="1" width="0.85546875" style="36" bestFit="1" customWidth="1"/>
    <col min="2" max="2" width="12.140625" style="4" customWidth="1"/>
    <col min="3" max="3" width="4.140625" style="46" bestFit="1" customWidth="1"/>
    <col min="4" max="4" width="6.85546875" style="4" customWidth="1"/>
    <col min="5" max="5" width="14.28515625" style="4" customWidth="1"/>
    <col min="6" max="6" width="9" style="4" customWidth="1"/>
    <col min="7" max="7" width="6.42578125" style="4" customWidth="1"/>
    <col min="8" max="8" width="9" style="4" bestFit="1" customWidth="1"/>
    <col min="9" max="9" width="8.140625" style="4" bestFit="1" customWidth="1"/>
    <col min="10" max="10" width="10.5703125" style="4" customWidth="1"/>
    <col min="11" max="11" width="8.5703125" style="4" customWidth="1"/>
    <col min="12" max="12" width="3.28515625" style="42" customWidth="1"/>
    <col min="13" max="13" width="9.140625" style="4" bestFit="1" customWidth="1"/>
    <col min="14" max="14" width="13.5703125" style="4" customWidth="1"/>
    <col min="15" max="15" width="5.7109375" style="4" bestFit="1" customWidth="1"/>
    <col min="16" max="16" width="4.140625" style="4" bestFit="1" customWidth="1"/>
    <col min="17" max="17" width="9.42578125" style="48" bestFit="1" customWidth="1"/>
    <col min="18" max="18" width="15.28515625" style="48" customWidth="1"/>
    <col min="19" max="19" width="14.140625" style="4" customWidth="1"/>
    <col min="20" max="20" width="9.42578125" style="4" customWidth="1"/>
    <col min="21" max="21" width="9.140625" style="48" bestFit="1" customWidth="1"/>
    <col min="22" max="23" width="7.85546875" style="4" bestFit="1" customWidth="1"/>
    <col min="24" max="24" width="5" style="4" bestFit="1" customWidth="1"/>
    <col min="25" max="25" width="20.5703125" style="4" customWidth="1"/>
    <col min="26" max="26" width="12.5703125" style="48" customWidth="1"/>
    <col min="27" max="27" width="12.140625" style="4" customWidth="1"/>
    <col min="28" max="28" width="13" style="4" customWidth="1"/>
    <col min="29" max="29" width="7.42578125" style="4" bestFit="1" customWidth="1"/>
    <col min="30" max="30" width="7.42578125" style="4" customWidth="1"/>
    <col min="31" max="31" width="8.85546875" style="4" customWidth="1"/>
    <col min="32" max="32" width="6.42578125" style="4" bestFit="1" customWidth="1"/>
    <col min="33" max="33" width="15.140625" style="46" customWidth="1"/>
    <col min="34" max="34" width="14.7109375" style="4" customWidth="1"/>
    <col min="35" max="35" width="11.7109375" style="4" customWidth="1"/>
    <col min="36" max="38" width="125.42578125" style="4"/>
    <col min="39" max="39" width="7.140625" style="4" bestFit="1" customWidth="1"/>
    <col min="40" max="40" width="6.140625" style="4" bestFit="1" customWidth="1"/>
    <col min="41" max="41" width="5.42578125" style="4" bestFit="1" customWidth="1"/>
    <col min="42" max="42" width="9.7109375" style="4" bestFit="1" customWidth="1"/>
    <col min="43" max="43" width="10.42578125" style="4" bestFit="1" customWidth="1"/>
    <col min="44" max="44" width="3.85546875" style="4" bestFit="1" customWidth="1"/>
    <col min="45" max="45" width="3.42578125" style="4" bestFit="1" customWidth="1"/>
    <col min="46" max="46" width="5.140625" style="4" bestFit="1" customWidth="1"/>
    <col min="47" max="47" width="6.42578125" style="4" bestFit="1" customWidth="1"/>
    <col min="48" max="48" width="6.85546875" style="4" bestFit="1" customWidth="1"/>
    <col min="49" max="49" width="13.85546875" style="4" bestFit="1" customWidth="1"/>
    <col min="50" max="50" width="1.85546875" style="4" bestFit="1" customWidth="1"/>
    <col min="51" max="52" width="5.140625" style="4" bestFit="1" customWidth="1"/>
    <col min="53" max="53" width="4.140625" style="4" bestFit="1" customWidth="1"/>
    <col min="54" max="54" width="1.85546875" style="4" bestFit="1" customWidth="1"/>
    <col min="55" max="55" width="8.28515625" style="4" bestFit="1" customWidth="1"/>
    <col min="56" max="56" width="7.28515625" style="4" bestFit="1" customWidth="1"/>
    <col min="57" max="57" width="5.85546875" style="4" customWidth="1"/>
    <col min="58" max="58" width="5.140625" style="4" bestFit="1" customWidth="1"/>
    <col min="59" max="59" width="4.28515625" style="4" bestFit="1" customWidth="1"/>
    <col min="60" max="16384" width="125.42578125" style="4"/>
  </cols>
  <sheetData>
    <row r="1" spans="1:60" ht="11.25">
      <c r="A1" s="8"/>
      <c r="B1" s="8"/>
      <c r="C1" s="39"/>
      <c r="D1" s="10"/>
      <c r="E1" s="10"/>
      <c r="F1" s="10"/>
      <c r="G1" s="10"/>
      <c r="H1" s="10"/>
      <c r="I1" s="8"/>
      <c r="J1" s="10"/>
      <c r="K1" s="9"/>
      <c r="L1" s="9"/>
      <c r="M1" s="9"/>
      <c r="N1" s="8"/>
      <c r="O1" s="8"/>
      <c r="P1" s="10"/>
      <c r="Q1" s="10"/>
      <c r="R1" s="10"/>
      <c r="S1" s="10"/>
      <c r="T1" s="10"/>
      <c r="U1" s="10"/>
      <c r="V1" s="8"/>
      <c r="W1" s="8"/>
      <c r="X1" s="8"/>
      <c r="Y1" s="8"/>
      <c r="Z1" s="8"/>
      <c r="AA1" s="8"/>
      <c r="AB1" s="8"/>
      <c r="AC1" s="9"/>
      <c r="AD1" s="9"/>
      <c r="AE1" s="8"/>
      <c r="AF1" s="8"/>
      <c r="AG1" s="39"/>
      <c r="AH1" s="43"/>
      <c r="AI1" s="43"/>
      <c r="AJ1" s="43"/>
      <c r="AK1" s="43"/>
      <c r="AL1" s="4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 spans="1:60" ht="11.1" customHeight="1">
      <c r="A2" s="34"/>
      <c r="B2" s="64" t="s">
        <v>0</v>
      </c>
      <c r="C2" s="108" t="s">
        <v>1</v>
      </c>
      <c r="D2" s="120" t="s">
        <v>2</v>
      </c>
      <c r="E2" s="117" t="s">
        <v>3</v>
      </c>
      <c r="F2" s="117" t="s">
        <v>4</v>
      </c>
      <c r="G2" s="117" t="s">
        <v>5</v>
      </c>
      <c r="H2" s="111" t="s">
        <v>6</v>
      </c>
      <c r="I2" s="111" t="s">
        <v>7</v>
      </c>
      <c r="J2" s="111" t="s">
        <v>8</v>
      </c>
      <c r="K2" s="114" t="s">
        <v>9</v>
      </c>
      <c r="L2" s="60" t="s">
        <v>10</v>
      </c>
      <c r="M2" s="77" t="s">
        <v>11</v>
      </c>
      <c r="N2" s="78"/>
      <c r="O2" s="78"/>
      <c r="P2" s="78"/>
      <c r="Q2" s="79"/>
      <c r="R2" s="85" t="s">
        <v>12</v>
      </c>
      <c r="S2" s="86"/>
      <c r="T2" s="87"/>
      <c r="U2" s="83" t="s">
        <v>13</v>
      </c>
      <c r="V2" s="84"/>
      <c r="W2" s="84"/>
      <c r="X2" s="84"/>
      <c r="Y2" s="150" t="s">
        <v>14</v>
      </c>
      <c r="Z2" s="151"/>
      <c r="AA2" s="151"/>
      <c r="AB2" s="151"/>
      <c r="AC2" s="151"/>
      <c r="AD2" s="151"/>
      <c r="AE2" s="151"/>
      <c r="AF2" s="151"/>
      <c r="AG2" s="97" t="s">
        <v>15</v>
      </c>
      <c r="AH2" s="2"/>
      <c r="AI2" s="2"/>
      <c r="AJ2" s="2"/>
      <c r="AK2" s="2"/>
      <c r="AL2" s="2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60" ht="11.1" customHeight="1">
      <c r="A3" s="34"/>
      <c r="B3" s="64"/>
      <c r="C3" s="109"/>
      <c r="D3" s="121"/>
      <c r="E3" s="118"/>
      <c r="F3" s="118"/>
      <c r="G3" s="118"/>
      <c r="H3" s="112"/>
      <c r="I3" s="112"/>
      <c r="J3" s="112"/>
      <c r="K3" s="115"/>
      <c r="L3" s="106"/>
      <c r="M3" s="76" t="s">
        <v>16</v>
      </c>
      <c r="N3" s="75" t="s">
        <v>17</v>
      </c>
      <c r="O3" s="75" t="s">
        <v>18</v>
      </c>
      <c r="P3" s="75" t="s">
        <v>19</v>
      </c>
      <c r="Q3" s="71" t="s">
        <v>20</v>
      </c>
      <c r="R3" s="72" t="s">
        <v>21</v>
      </c>
      <c r="S3" s="65" t="s">
        <v>22</v>
      </c>
      <c r="T3" s="68" t="s">
        <v>23</v>
      </c>
      <c r="U3" s="100" t="s">
        <v>13</v>
      </c>
      <c r="V3" s="94" t="s">
        <v>22</v>
      </c>
      <c r="W3" s="91" t="s">
        <v>24</v>
      </c>
      <c r="X3" s="88" t="s">
        <v>25</v>
      </c>
      <c r="Y3" s="103" t="s">
        <v>26</v>
      </c>
      <c r="Z3" s="61" t="s">
        <v>27</v>
      </c>
      <c r="AA3" s="61" t="s">
        <v>28</v>
      </c>
      <c r="AB3" s="61" t="s">
        <v>29</v>
      </c>
      <c r="AC3" s="61" t="s">
        <v>30</v>
      </c>
      <c r="AD3" s="61" t="s">
        <v>31</v>
      </c>
      <c r="AE3" s="61" t="s">
        <v>32</v>
      </c>
      <c r="AF3" s="61" t="s">
        <v>25</v>
      </c>
      <c r="AG3" s="98"/>
      <c r="AH3" s="149"/>
      <c r="AI3" s="2"/>
      <c r="AJ3" s="2"/>
      <c r="AK3" s="2"/>
      <c r="AL3" s="2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BC3" s="80" t="s">
        <v>33</v>
      </c>
      <c r="BD3" s="82" t="s">
        <v>34</v>
      </c>
      <c r="BE3" s="123" t="s">
        <v>35</v>
      </c>
      <c r="BF3" s="124"/>
      <c r="BG3" s="124"/>
    </row>
    <row r="4" spans="1:60" ht="15" customHeight="1">
      <c r="A4" s="34" t="s">
        <v>36</v>
      </c>
      <c r="B4" s="64"/>
      <c r="C4" s="109"/>
      <c r="D4" s="121"/>
      <c r="E4" s="118"/>
      <c r="F4" s="118"/>
      <c r="G4" s="118"/>
      <c r="H4" s="112"/>
      <c r="I4" s="112"/>
      <c r="J4" s="112"/>
      <c r="K4" s="115"/>
      <c r="L4" s="106"/>
      <c r="M4" s="76"/>
      <c r="N4" s="75"/>
      <c r="O4" s="75"/>
      <c r="P4" s="75"/>
      <c r="Q4" s="71"/>
      <c r="R4" s="73"/>
      <c r="S4" s="66"/>
      <c r="T4" s="69"/>
      <c r="U4" s="101"/>
      <c r="V4" s="95"/>
      <c r="W4" s="92"/>
      <c r="X4" s="89"/>
      <c r="Y4" s="104"/>
      <c r="Z4" s="62"/>
      <c r="AA4" s="62"/>
      <c r="AB4" s="62"/>
      <c r="AC4" s="62"/>
      <c r="AD4" s="62"/>
      <c r="AE4" s="62"/>
      <c r="AF4" s="62"/>
      <c r="AG4" s="98"/>
      <c r="AH4" s="149"/>
      <c r="AI4" s="2"/>
      <c r="AJ4" s="2"/>
      <c r="AK4" s="2"/>
      <c r="AL4" s="2"/>
      <c r="AM4" s="37" t="s">
        <v>37</v>
      </c>
      <c r="AN4" s="37" t="s">
        <v>38</v>
      </c>
      <c r="AO4" s="37" t="s">
        <v>39</v>
      </c>
      <c r="AP4" s="37" t="s">
        <v>40</v>
      </c>
      <c r="AQ4" s="38" t="s">
        <v>41</v>
      </c>
      <c r="AR4" s="38" t="s">
        <v>42</v>
      </c>
      <c r="AS4" s="37" t="s">
        <v>43</v>
      </c>
      <c r="AT4" s="37" t="s">
        <v>44</v>
      </c>
      <c r="AU4" s="37" t="s">
        <v>45</v>
      </c>
      <c r="AV4" s="37" t="s">
        <v>34</v>
      </c>
      <c r="AW4" s="37" t="s">
        <v>46</v>
      </c>
      <c r="BC4" s="81"/>
      <c r="BD4" s="81"/>
      <c r="BE4" s="123"/>
      <c r="BF4" s="124"/>
      <c r="BG4" s="124"/>
    </row>
    <row r="5" spans="1:60" ht="15" customHeight="1">
      <c r="A5" s="34"/>
      <c r="B5" s="64"/>
      <c r="C5" s="110"/>
      <c r="D5" s="122"/>
      <c r="E5" s="119"/>
      <c r="F5" s="119"/>
      <c r="G5" s="119"/>
      <c r="H5" s="113"/>
      <c r="I5" s="113"/>
      <c r="J5" s="113"/>
      <c r="K5" s="116"/>
      <c r="L5" s="107"/>
      <c r="M5" s="76"/>
      <c r="N5" s="75"/>
      <c r="O5" s="75"/>
      <c r="P5" s="75"/>
      <c r="Q5" s="71"/>
      <c r="R5" s="74"/>
      <c r="S5" s="67"/>
      <c r="T5" s="70"/>
      <c r="U5" s="102"/>
      <c r="V5" s="96"/>
      <c r="W5" s="93"/>
      <c r="X5" s="90"/>
      <c r="Y5" s="105"/>
      <c r="Z5" s="63"/>
      <c r="AA5" s="63"/>
      <c r="AB5" s="63"/>
      <c r="AC5" s="63"/>
      <c r="AD5" s="63"/>
      <c r="AE5" s="63"/>
      <c r="AF5" s="63"/>
      <c r="AG5" s="99"/>
      <c r="AH5" s="149"/>
      <c r="AI5" s="2"/>
      <c r="AJ5" s="2"/>
      <c r="AK5" s="2"/>
      <c r="AL5" s="2"/>
      <c r="AM5" s="3" t="s">
        <v>47</v>
      </c>
      <c r="AN5" s="3" t="s">
        <v>48</v>
      </c>
      <c r="AO5" s="3" t="s">
        <v>49</v>
      </c>
      <c r="AP5" s="3" t="s">
        <v>50</v>
      </c>
      <c r="AQ5" s="3" t="s">
        <v>51</v>
      </c>
      <c r="AR5" s="3" t="s">
        <v>52</v>
      </c>
      <c r="AS5" s="3" t="s">
        <v>53</v>
      </c>
      <c r="AT5" s="3" t="s">
        <v>54</v>
      </c>
      <c r="AU5" s="3" t="s">
        <v>55</v>
      </c>
      <c r="AV5" s="3" t="s">
        <v>56</v>
      </c>
      <c r="AW5" s="3" t="s">
        <v>57</v>
      </c>
      <c r="AX5" s="4" t="s">
        <v>58</v>
      </c>
      <c r="AY5" s="5">
        <v>0</v>
      </c>
      <c r="AZ5" s="5">
        <v>0</v>
      </c>
      <c r="BA5" s="4">
        <v>-1</v>
      </c>
      <c r="BB5" s="4" t="s">
        <v>58</v>
      </c>
      <c r="BC5" s="6" t="s">
        <v>59</v>
      </c>
      <c r="BD5" s="7" t="str">
        <f t="shared" ref="BD5:BD11" si="0">$AV$5</f>
        <v>Majors</v>
      </c>
    </row>
    <row r="6" spans="1:60" ht="13.5">
      <c r="A6" s="1"/>
      <c r="B6" s="125" t="s">
        <v>60</v>
      </c>
      <c r="C6" s="126">
        <f>C5+1</f>
        <v>1</v>
      </c>
      <c r="D6" s="11" t="s">
        <v>48</v>
      </c>
      <c r="E6" s="127" t="s">
        <v>61</v>
      </c>
      <c r="F6" s="13" t="s">
        <v>62</v>
      </c>
      <c r="G6" s="13"/>
      <c r="H6" s="29" t="s">
        <v>63</v>
      </c>
      <c r="I6" s="14" t="s">
        <v>64</v>
      </c>
      <c r="J6" s="15" t="s">
        <v>65</v>
      </c>
      <c r="K6" s="16" t="s">
        <v>66</v>
      </c>
      <c r="L6" s="128" t="s">
        <v>67</v>
      </c>
      <c r="M6" s="17">
        <v>5000</v>
      </c>
      <c r="N6" s="52">
        <f t="shared" ref="N6:N69" si="1">IF(M6="","",O6*M6/100%)</f>
        <v>50</v>
      </c>
      <c r="O6" s="19">
        <v>0.01</v>
      </c>
      <c r="P6" s="20">
        <v>0.01</v>
      </c>
      <c r="Q6" s="129">
        <v>1.09209</v>
      </c>
      <c r="R6" s="130">
        <v>1.09317</v>
      </c>
      <c r="S6" s="51">
        <f>IF(R6="","",IF(K6="Long",Q6-R6,R6-Q6))</f>
        <v>1.0799999999999699E-3</v>
      </c>
      <c r="T6" s="131">
        <f t="shared" ref="T6:T12" si="2">IF(S6="","",N6)</f>
        <v>50</v>
      </c>
      <c r="U6" s="130">
        <v>1.0894999999999999</v>
      </c>
      <c r="V6" s="51">
        <f>IF(U6="","",IF(K6="Long",U6-Q6,Q6-U6))</f>
        <v>2.5900000000000922E-3</v>
      </c>
      <c r="W6" s="132">
        <f t="shared" ref="W6:W69" si="3">IF(X6="","",X6*T6/1)</f>
        <v>119.90740740741501</v>
      </c>
      <c r="X6" s="133">
        <f>IF(V6="","",V6*1/S6)</f>
        <v>2.3981481481483002</v>
      </c>
      <c r="Y6" s="127" t="s">
        <v>61</v>
      </c>
      <c r="Z6" s="130">
        <v>1.09317</v>
      </c>
      <c r="AA6" s="25">
        <v>0</v>
      </c>
      <c r="AB6" s="25">
        <v>0</v>
      </c>
      <c r="AC6" s="25">
        <f>-T6</f>
        <v>-50</v>
      </c>
      <c r="AD6" s="52">
        <f>IF(AC6="","",AC6+AB6+AA6)</f>
        <v>-50</v>
      </c>
      <c r="AE6" s="51">
        <f>IF(Z6="","",IF(K6="Long",Z6-Q6,Q6-Z6))</f>
        <v>-1.0799999999999699E-3</v>
      </c>
      <c r="AF6" s="134">
        <f>IF(AE6="","",AC6*O6/T6)</f>
        <v>-0.01</v>
      </c>
      <c r="AG6" s="135">
        <f>M6+AC6</f>
        <v>4950</v>
      </c>
      <c r="AH6" s="49"/>
      <c r="AI6" s="2"/>
      <c r="AJ6" s="2"/>
      <c r="AK6" s="2"/>
      <c r="AL6" s="2"/>
      <c r="AM6" s="3" t="s">
        <v>68</v>
      </c>
      <c r="AN6" s="3" t="s">
        <v>69</v>
      </c>
      <c r="AO6" s="3" t="s">
        <v>62</v>
      </c>
      <c r="AP6" s="3" t="s">
        <v>64</v>
      </c>
      <c r="AQ6" s="3" t="s">
        <v>70</v>
      </c>
      <c r="AR6" s="3" t="s">
        <v>67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Y6" s="5">
        <v>0.1</v>
      </c>
      <c r="AZ6" s="5">
        <v>0.1</v>
      </c>
      <c r="BA6" s="4">
        <v>0</v>
      </c>
      <c r="BC6" s="6" t="s">
        <v>76</v>
      </c>
      <c r="BD6" s="7" t="str">
        <f t="shared" si="0"/>
        <v>Majors</v>
      </c>
      <c r="BG6" s="4" t="s">
        <v>77</v>
      </c>
      <c r="BH6" s="4" t="s">
        <v>78</v>
      </c>
    </row>
    <row r="7" spans="1:60" ht="13.5">
      <c r="A7" s="1"/>
      <c r="B7" s="125" t="s">
        <v>60</v>
      </c>
      <c r="C7" s="126">
        <f t="shared" ref="C7:C28" si="4">C6+1</f>
        <v>2</v>
      </c>
      <c r="D7" s="11" t="s">
        <v>48</v>
      </c>
      <c r="E7" s="127" t="s">
        <v>61</v>
      </c>
      <c r="F7" s="13" t="s">
        <v>62</v>
      </c>
      <c r="G7" s="13"/>
      <c r="H7" s="29" t="s">
        <v>79</v>
      </c>
      <c r="I7" s="14" t="s">
        <v>64</v>
      </c>
      <c r="J7" s="15" t="s">
        <v>80</v>
      </c>
      <c r="K7" s="16" t="s">
        <v>81</v>
      </c>
      <c r="L7" s="136" t="s">
        <v>67</v>
      </c>
      <c r="M7" s="17">
        <f>AG6</f>
        <v>4950</v>
      </c>
      <c r="N7" s="52">
        <f t="shared" si="1"/>
        <v>49.5</v>
      </c>
      <c r="O7" s="19">
        <v>0.01</v>
      </c>
      <c r="P7" s="20">
        <v>0.01</v>
      </c>
      <c r="Q7" s="129">
        <v>1.2400199999999999</v>
      </c>
      <c r="R7" s="130">
        <v>1.23976</v>
      </c>
      <c r="S7" s="51">
        <f>IF(R7="","",IF(K7="Long",Q7-R7,R7-Q7))</f>
        <v>2.5999999999992696E-4</v>
      </c>
      <c r="T7" s="131">
        <f t="shared" si="2"/>
        <v>49.5</v>
      </c>
      <c r="U7" s="130">
        <v>1.2407999999999999</v>
      </c>
      <c r="V7" s="51">
        <f>IF(U7="","",IF(K7="Long",U7-Q7,Q7-U7))</f>
        <v>7.8000000000000291E-4</v>
      </c>
      <c r="W7" s="132">
        <f t="shared" si="3"/>
        <v>148.50000000004226</v>
      </c>
      <c r="X7" s="133">
        <f t="shared" ref="X7:X70" si="5">IF(V7="","",V7*1/S7)</f>
        <v>3.000000000000854</v>
      </c>
      <c r="Y7" s="127" t="s">
        <v>61</v>
      </c>
      <c r="Z7" s="130">
        <v>1.23976</v>
      </c>
      <c r="AA7" s="25">
        <v>0</v>
      </c>
      <c r="AB7" s="25">
        <v>0</v>
      </c>
      <c r="AC7" s="25">
        <f>-T7</f>
        <v>-49.5</v>
      </c>
      <c r="AD7" s="52">
        <f t="shared" ref="AD7:AD70" si="6">IF(AC7="","",AC7+AB7+AA7)</f>
        <v>-49.5</v>
      </c>
      <c r="AE7" s="51">
        <f>IF(Z7="","",IF(K7="Long",Z7-Q7,Q7-Z7))</f>
        <v>-2.5999999999992696E-4</v>
      </c>
      <c r="AF7" s="134">
        <f>IF(AE7="","",AC7*O7/T7)</f>
        <v>-0.01</v>
      </c>
      <c r="AG7" s="135">
        <f>M7+AC7</f>
        <v>4900.5</v>
      </c>
      <c r="AH7" s="49"/>
      <c r="AI7" s="2"/>
      <c r="AJ7" s="2"/>
      <c r="AK7" s="2"/>
      <c r="AL7" s="2"/>
      <c r="AM7" s="3"/>
      <c r="AN7" s="3" t="s">
        <v>82</v>
      </c>
      <c r="AO7" s="3" t="s">
        <v>83</v>
      </c>
      <c r="AP7" s="3" t="s">
        <v>84</v>
      </c>
      <c r="AQ7" s="3" t="s">
        <v>85</v>
      </c>
      <c r="AR7" s="3"/>
      <c r="AS7" s="3"/>
      <c r="AT7" s="3" t="s">
        <v>86</v>
      </c>
      <c r="AU7" s="3" t="s">
        <v>87</v>
      </c>
      <c r="AV7" s="3" t="s">
        <v>88</v>
      </c>
      <c r="AW7" s="3" t="s">
        <v>89</v>
      </c>
      <c r="AY7" s="5">
        <v>0.2</v>
      </c>
      <c r="AZ7" s="5">
        <v>0.2</v>
      </c>
      <c r="BA7" s="4">
        <v>1</v>
      </c>
      <c r="BC7" s="6" t="s">
        <v>90</v>
      </c>
      <c r="BD7" s="7" t="str">
        <f t="shared" si="0"/>
        <v>Majors</v>
      </c>
      <c r="BG7" s="4" t="s">
        <v>91</v>
      </c>
      <c r="BH7" s="4" t="s">
        <v>92</v>
      </c>
    </row>
    <row r="8" spans="1:60" ht="13.5">
      <c r="A8" s="1"/>
      <c r="B8" s="125" t="s">
        <v>60</v>
      </c>
      <c r="C8" s="126">
        <f t="shared" si="4"/>
        <v>3</v>
      </c>
      <c r="D8" s="11" t="s">
        <v>48</v>
      </c>
      <c r="E8" s="127" t="s">
        <v>61</v>
      </c>
      <c r="F8" s="13" t="s">
        <v>62</v>
      </c>
      <c r="G8" s="13"/>
      <c r="H8" s="29" t="s">
        <v>93</v>
      </c>
      <c r="I8" s="14" t="s">
        <v>64</v>
      </c>
      <c r="J8" s="15" t="s">
        <v>80</v>
      </c>
      <c r="K8" s="16" t="s">
        <v>81</v>
      </c>
      <c r="L8" s="40" t="s">
        <v>52</v>
      </c>
      <c r="M8" s="17">
        <f>AG7</f>
        <v>4900.5</v>
      </c>
      <c r="N8" s="52">
        <f t="shared" si="1"/>
        <v>49.005000000000003</v>
      </c>
      <c r="O8" s="19">
        <v>0.01</v>
      </c>
      <c r="P8" s="20">
        <v>0.02</v>
      </c>
      <c r="Q8" s="129">
        <v>97.501999999999995</v>
      </c>
      <c r="R8" s="130">
        <v>97.444999999999993</v>
      </c>
      <c r="S8" s="51">
        <f>IF(R8="","",IF(K8="Long",Q8-R8,R8-Q8))</f>
        <v>5.700000000000216E-2</v>
      </c>
      <c r="T8" s="131">
        <f t="shared" si="2"/>
        <v>49.005000000000003</v>
      </c>
      <c r="U8" s="130">
        <v>97.674999999999997</v>
      </c>
      <c r="V8" s="51">
        <f>IF(U8="","",IF(K8="Long",U8-Q8,Q8-U8))</f>
        <v>0.17300000000000182</v>
      </c>
      <c r="W8" s="132">
        <f t="shared" si="3"/>
        <v>148.73447368420648</v>
      </c>
      <c r="X8" s="133">
        <f t="shared" si="5"/>
        <v>3.0350877192981627</v>
      </c>
      <c r="Y8" s="127" t="s">
        <v>61</v>
      </c>
      <c r="Z8" s="130">
        <v>97.674999999999997</v>
      </c>
      <c r="AA8" s="25">
        <v>0</v>
      </c>
      <c r="AB8" s="25">
        <v>0</v>
      </c>
      <c r="AC8" s="25">
        <f>+W8</f>
        <v>148.73447368420648</v>
      </c>
      <c r="AD8" s="52">
        <f t="shared" si="6"/>
        <v>148.73447368420648</v>
      </c>
      <c r="AE8" s="51">
        <f>IF(Z8="","",IF(K8="Long",Z8-Q8,Q8-Z8))</f>
        <v>0.17300000000000182</v>
      </c>
      <c r="AF8" s="134">
        <f>IF(AE8="","",AC8*O8/T8)</f>
        <v>3.0350877192981626E-2</v>
      </c>
      <c r="AG8" s="135">
        <f>M8+AC8</f>
        <v>5049.234473684206</v>
      </c>
      <c r="AH8" s="2"/>
      <c r="AI8" s="2"/>
      <c r="AJ8" s="2"/>
      <c r="AK8" s="2"/>
      <c r="AL8" s="2"/>
      <c r="AM8" s="3"/>
      <c r="AN8" s="3" t="s">
        <v>94</v>
      </c>
      <c r="AO8" s="3"/>
      <c r="AP8" s="3" t="s">
        <v>95</v>
      </c>
      <c r="AQ8" s="3" t="s">
        <v>96</v>
      </c>
      <c r="AR8" s="3"/>
      <c r="AS8" s="3"/>
      <c r="AT8" s="3"/>
      <c r="AU8" s="3" t="s">
        <v>86</v>
      </c>
      <c r="AV8" s="3" t="s">
        <v>97</v>
      </c>
      <c r="AW8" s="3" t="s">
        <v>98</v>
      </c>
      <c r="AY8" s="5">
        <v>0.3</v>
      </c>
      <c r="AZ8" s="5">
        <v>0.3</v>
      </c>
      <c r="BA8" s="4">
        <v>2</v>
      </c>
      <c r="BC8" s="6" t="s">
        <v>79</v>
      </c>
      <c r="BD8" s="7" t="str">
        <f t="shared" si="0"/>
        <v>Majors</v>
      </c>
      <c r="BG8" s="4" t="s">
        <v>71</v>
      </c>
      <c r="BH8" s="4" t="s">
        <v>99</v>
      </c>
    </row>
    <row r="9" spans="1:60" ht="13.5">
      <c r="A9" s="1"/>
      <c r="B9" s="125" t="s">
        <v>100</v>
      </c>
      <c r="C9" s="126">
        <f>C8+1</f>
        <v>4</v>
      </c>
      <c r="D9" s="11" t="s">
        <v>69</v>
      </c>
      <c r="E9" s="127" t="s">
        <v>101</v>
      </c>
      <c r="F9" s="13" t="s">
        <v>49</v>
      </c>
      <c r="G9" s="13"/>
      <c r="H9" s="29" t="s">
        <v>79</v>
      </c>
      <c r="I9" s="14" t="s">
        <v>64</v>
      </c>
      <c r="J9" s="15" t="s">
        <v>65</v>
      </c>
      <c r="K9" s="16" t="s">
        <v>66</v>
      </c>
      <c r="L9" s="40" t="s">
        <v>52</v>
      </c>
      <c r="M9" s="17">
        <f>AG8</f>
        <v>5049.234473684206</v>
      </c>
      <c r="N9" s="52">
        <f t="shared" si="1"/>
        <v>50.492344736842064</v>
      </c>
      <c r="O9" s="19">
        <v>0.01</v>
      </c>
      <c r="P9" s="20">
        <v>0.5</v>
      </c>
      <c r="Q9" s="129">
        <v>1.23495</v>
      </c>
      <c r="R9" s="130">
        <v>1.2365699999999999</v>
      </c>
      <c r="S9" s="51">
        <f>IF(R9="","",IF(K9="Long",Q9-R9,R9-Q9))</f>
        <v>1.6199999999999548E-3</v>
      </c>
      <c r="T9" s="131">
        <f t="shared" si="2"/>
        <v>50.492344736842064</v>
      </c>
      <c r="U9" s="130">
        <v>1.2300599999999999</v>
      </c>
      <c r="V9" s="51">
        <f>IF(U9="","",IF(K9="Long",U9-Q9,Q9-U9))</f>
        <v>4.890000000000061E-3</v>
      </c>
      <c r="W9" s="132">
        <f t="shared" si="3"/>
        <v>152.41207763158496</v>
      </c>
      <c r="X9" s="133">
        <f t="shared" si="5"/>
        <v>3.0185185185186403</v>
      </c>
      <c r="Y9" s="127" t="s">
        <v>101</v>
      </c>
      <c r="Z9" s="130">
        <v>1.2300599999999999</v>
      </c>
      <c r="AA9" s="25">
        <v>0</v>
      </c>
      <c r="AB9" s="25">
        <v>0</v>
      </c>
      <c r="AC9" s="25">
        <f>+W9</f>
        <v>152.41207763158496</v>
      </c>
      <c r="AD9" s="52">
        <f t="shared" si="6"/>
        <v>152.41207763158496</v>
      </c>
      <c r="AE9" s="51">
        <f>IF(Z9="","",IF(K9="Long",Z9-Q9,Q9-Z9))</f>
        <v>4.890000000000061E-3</v>
      </c>
      <c r="AF9" s="134">
        <f>IF(AE9="","",AC9*O9/T9)</f>
        <v>3.0185185185186404E-2</v>
      </c>
      <c r="AG9" s="135">
        <f>M9+AC9</f>
        <v>5201.6465513157909</v>
      </c>
      <c r="AH9" s="2"/>
      <c r="AI9" s="2"/>
      <c r="AJ9" s="2"/>
      <c r="AK9" s="2"/>
      <c r="AL9" s="2"/>
      <c r="AM9" s="3"/>
      <c r="AN9" s="3" t="s">
        <v>102</v>
      </c>
      <c r="AO9" s="3"/>
      <c r="AQ9" s="3" t="s">
        <v>103</v>
      </c>
      <c r="AR9" s="3"/>
      <c r="AS9" s="3"/>
      <c r="AT9" s="3"/>
      <c r="AU9" s="3"/>
      <c r="AV9" s="3" t="s">
        <v>104</v>
      </c>
      <c r="AW9" s="3" t="s">
        <v>105</v>
      </c>
      <c r="AY9" s="5">
        <v>0.4</v>
      </c>
      <c r="AZ9" s="5">
        <v>0.4</v>
      </c>
      <c r="BA9" s="4">
        <v>3</v>
      </c>
      <c r="BC9" s="6" t="s">
        <v>106</v>
      </c>
      <c r="BD9" s="7" t="str">
        <f t="shared" si="0"/>
        <v>Majors</v>
      </c>
      <c r="BG9" s="4" t="s">
        <v>107</v>
      </c>
      <c r="BH9" s="4" t="s">
        <v>108</v>
      </c>
    </row>
    <row r="10" spans="1:60" ht="13.5">
      <c r="A10" s="1"/>
      <c r="B10" s="125" t="s">
        <v>100</v>
      </c>
      <c r="C10" s="126">
        <f t="shared" si="4"/>
        <v>5</v>
      </c>
      <c r="D10" s="11" t="s">
        <v>94</v>
      </c>
      <c r="E10" s="127" t="s">
        <v>109</v>
      </c>
      <c r="F10" s="13" t="s">
        <v>49</v>
      </c>
      <c r="G10" s="13"/>
      <c r="H10" s="29" t="s">
        <v>79</v>
      </c>
      <c r="I10" s="14" t="s">
        <v>64</v>
      </c>
      <c r="J10" s="15" t="s">
        <v>110</v>
      </c>
      <c r="K10" s="16" t="s">
        <v>66</v>
      </c>
      <c r="L10" s="40" t="s">
        <v>52</v>
      </c>
      <c r="M10" s="17">
        <f>AG9</f>
        <v>5201.6465513157909</v>
      </c>
      <c r="N10" s="52">
        <f t="shared" si="1"/>
        <v>52.016465513157911</v>
      </c>
      <c r="O10" s="19">
        <v>0.01</v>
      </c>
      <c r="P10" s="20">
        <v>0.01</v>
      </c>
      <c r="Q10" s="129">
        <v>83.290999999999997</v>
      </c>
      <c r="R10" s="130">
        <v>83.558999999999997</v>
      </c>
      <c r="S10" s="51">
        <f>IF(R10="","",IF(K10="Long",Q10-R10,R10-Q10))</f>
        <v>0.26800000000000068</v>
      </c>
      <c r="T10" s="131">
        <f t="shared" si="2"/>
        <v>52.016465513157911</v>
      </c>
      <c r="U10" s="130">
        <v>82.488</v>
      </c>
      <c r="V10" s="51">
        <f>IF(U10="","",IF(K10="Long",U10-Q10,Q10-U10))</f>
        <v>0.80299999999999727</v>
      </c>
      <c r="W10" s="132">
        <f t="shared" si="3"/>
        <v>155.85530525024461</v>
      </c>
      <c r="X10" s="133">
        <f t="shared" si="5"/>
        <v>2.9962686567164001</v>
      </c>
      <c r="Y10" s="127" t="s">
        <v>109</v>
      </c>
      <c r="Z10" s="130">
        <v>82.488</v>
      </c>
      <c r="AA10" s="25">
        <v>0</v>
      </c>
      <c r="AB10" s="25">
        <v>0</v>
      </c>
      <c r="AC10" s="25">
        <f>+W10</f>
        <v>155.85530525024461</v>
      </c>
      <c r="AD10" s="52">
        <f t="shared" si="6"/>
        <v>155.85530525024461</v>
      </c>
      <c r="AE10" s="51">
        <f>IF(Z10="","",IF(K10="Long",Z10-Q10,Q10-Z10))</f>
        <v>0.80299999999999727</v>
      </c>
      <c r="AF10" s="134">
        <f>IF(AE10="","",AC10*O10/T10)</f>
        <v>2.9962686567164006E-2</v>
      </c>
      <c r="AG10" s="135">
        <f>M10+AC10</f>
        <v>5357.5018565660357</v>
      </c>
      <c r="AH10" s="2"/>
      <c r="AI10" s="2"/>
      <c r="AJ10" s="2"/>
      <c r="AK10" s="2"/>
      <c r="AL10" s="2"/>
      <c r="AM10" s="3"/>
      <c r="AN10" s="3"/>
      <c r="AO10" s="3"/>
      <c r="AP10" s="3"/>
      <c r="AQ10" s="3" t="s">
        <v>111</v>
      </c>
      <c r="AR10" s="3"/>
      <c r="AS10" s="3"/>
      <c r="AT10" s="3"/>
      <c r="AU10" s="3"/>
      <c r="AV10" s="3"/>
      <c r="AW10" s="3" t="s">
        <v>112</v>
      </c>
      <c r="AY10" s="5">
        <v>0.5</v>
      </c>
      <c r="AZ10" s="5">
        <v>0.5</v>
      </c>
      <c r="BA10" s="4">
        <v>4</v>
      </c>
      <c r="BC10" s="6" t="s">
        <v>113</v>
      </c>
      <c r="BD10" s="7" t="str">
        <f t="shared" si="0"/>
        <v>Majors</v>
      </c>
    </row>
    <row r="11" spans="1:60" ht="13.5">
      <c r="A11" s="1"/>
      <c r="B11" s="125" t="s">
        <v>60</v>
      </c>
      <c r="C11" s="126">
        <f t="shared" si="4"/>
        <v>6</v>
      </c>
      <c r="D11" s="11" t="s">
        <v>102</v>
      </c>
      <c r="E11" s="127" t="s">
        <v>114</v>
      </c>
      <c r="F11" s="13" t="s">
        <v>49</v>
      </c>
      <c r="G11" s="13"/>
      <c r="H11" s="29" t="s">
        <v>59</v>
      </c>
      <c r="I11" s="14" t="s">
        <v>64</v>
      </c>
      <c r="J11" s="15" t="s">
        <v>80</v>
      </c>
      <c r="K11" s="16" t="s">
        <v>81</v>
      </c>
      <c r="L11" s="136" t="s">
        <v>67</v>
      </c>
      <c r="M11" s="17">
        <f>AG10</f>
        <v>5357.5018565660357</v>
      </c>
      <c r="N11" s="52">
        <f t="shared" si="1"/>
        <v>53.575018565660358</v>
      </c>
      <c r="O11" s="19">
        <v>0.01</v>
      </c>
      <c r="P11" s="20">
        <v>0.03</v>
      </c>
      <c r="Q11" s="129">
        <v>1.0895900000000001</v>
      </c>
      <c r="R11" s="130">
        <v>1.0893600000000001</v>
      </c>
      <c r="S11" s="51">
        <f>IF(R11="","",IF(K11="Long",Q11-R11,R11-Q11))</f>
        <v>2.2999999999995246E-4</v>
      </c>
      <c r="T11" s="131">
        <f t="shared" si="2"/>
        <v>53.575018565660358</v>
      </c>
      <c r="U11" s="130">
        <v>1.0902799999999999</v>
      </c>
      <c r="V11" s="51">
        <f>IF(U11="","",IF(K11="Long",U11-Q11,Q11-U11))</f>
        <v>6.8999999999985739E-4</v>
      </c>
      <c r="W11" s="132">
        <f t="shared" si="3"/>
        <v>160.72505569698109</v>
      </c>
      <c r="X11" s="133">
        <f t="shared" si="5"/>
        <v>3</v>
      </c>
      <c r="Y11" s="127" t="s">
        <v>114</v>
      </c>
      <c r="Z11" s="130">
        <v>1.0893600000000001</v>
      </c>
      <c r="AA11" s="25">
        <v>0</v>
      </c>
      <c r="AB11" s="25">
        <v>0</v>
      </c>
      <c r="AC11" s="25">
        <f>-T11</f>
        <v>-53.575018565660358</v>
      </c>
      <c r="AD11" s="52">
        <f t="shared" si="6"/>
        <v>-53.575018565660358</v>
      </c>
      <c r="AE11" s="51">
        <f>IF(Z11="","",IF(K11="Long",Z11-Q11,Q11-Z11))</f>
        <v>-2.2999999999995246E-4</v>
      </c>
      <c r="AF11" s="134">
        <f>IF(AE11="","",AC11*O11/T11)</f>
        <v>-0.01</v>
      </c>
      <c r="AG11" s="135">
        <f>M11+AC11</f>
        <v>5303.926838000375</v>
      </c>
      <c r="AH11" s="2"/>
      <c r="AI11" s="2"/>
      <c r="AJ11" s="2"/>
      <c r="AK11" s="2"/>
      <c r="AL11" s="2"/>
      <c r="AM11" s="3"/>
      <c r="AN11" s="3"/>
      <c r="AO11" s="3"/>
      <c r="AP11" s="3"/>
      <c r="AQ11" s="3" t="s">
        <v>115</v>
      </c>
      <c r="AR11" s="3"/>
      <c r="AS11" s="3"/>
      <c r="AT11" s="3"/>
      <c r="AU11" s="3"/>
      <c r="AV11" s="3"/>
      <c r="AW11" s="3" t="s">
        <v>116</v>
      </c>
      <c r="AY11" s="5">
        <v>0.6</v>
      </c>
      <c r="AZ11" s="5">
        <v>0.6</v>
      </c>
      <c r="BA11" s="4">
        <v>5</v>
      </c>
      <c r="BC11" s="6" t="s">
        <v>117</v>
      </c>
      <c r="BD11" s="7" t="str">
        <f t="shared" si="0"/>
        <v>Majors</v>
      </c>
      <c r="BE11" s="123" t="s">
        <v>118</v>
      </c>
      <c r="BF11" s="124"/>
      <c r="BG11" s="124"/>
    </row>
    <row r="12" spans="1:60" ht="13.5">
      <c r="A12" s="1"/>
      <c r="B12" s="125" t="s">
        <v>60</v>
      </c>
      <c r="C12" s="126">
        <f t="shared" si="4"/>
        <v>7</v>
      </c>
      <c r="D12" s="11" t="s">
        <v>102</v>
      </c>
      <c r="E12" s="127" t="s">
        <v>114</v>
      </c>
      <c r="F12" s="13" t="s">
        <v>62</v>
      </c>
      <c r="G12" s="13"/>
      <c r="H12" s="29" t="s">
        <v>79</v>
      </c>
      <c r="I12" s="14" t="s">
        <v>64</v>
      </c>
      <c r="J12" s="15" t="s">
        <v>119</v>
      </c>
      <c r="K12" s="16" t="s">
        <v>66</v>
      </c>
      <c r="L12" s="40" t="s">
        <v>52</v>
      </c>
      <c r="M12" s="17">
        <f>AG11</f>
        <v>5303.926838000375</v>
      </c>
      <c r="N12" s="52">
        <f t="shared" si="1"/>
        <v>53.039268380003755</v>
      </c>
      <c r="O12" s="19">
        <v>0.01</v>
      </c>
      <c r="P12" s="20">
        <v>0.01</v>
      </c>
      <c r="Q12" s="129">
        <v>0.64558000000000004</v>
      </c>
      <c r="R12" s="130">
        <v>0.64653000000000005</v>
      </c>
      <c r="S12" s="51">
        <f>IF(R12="","",IF(K12="Long",Q12-R12,R12-Q12))</f>
        <v>9.5000000000000639E-4</v>
      </c>
      <c r="T12" s="131">
        <f t="shared" si="2"/>
        <v>53.039268380003755</v>
      </c>
      <c r="U12" s="130">
        <v>0.64270000000000005</v>
      </c>
      <c r="V12" s="51">
        <f>IF(U12="","",IF(K12="Long",U12-Q12,Q12-U12))</f>
        <v>2.8799999999999937E-3</v>
      </c>
      <c r="W12" s="132">
        <f t="shared" si="3"/>
        <v>160.79272940464153</v>
      </c>
      <c r="X12" s="133">
        <f t="shared" si="5"/>
        <v>3.0315789473683941</v>
      </c>
      <c r="Y12" s="127" t="s">
        <v>114</v>
      </c>
      <c r="Z12" s="130">
        <v>0.64270000000000005</v>
      </c>
      <c r="AA12" s="25">
        <v>0</v>
      </c>
      <c r="AB12" s="25">
        <v>0</v>
      </c>
      <c r="AC12" s="25">
        <f>+W12</f>
        <v>160.79272940464153</v>
      </c>
      <c r="AD12" s="52">
        <f t="shared" si="6"/>
        <v>160.79272940464153</v>
      </c>
      <c r="AE12" s="51">
        <f>IF(Z12="","",IF(K12="Long",Z12-Q12,Q12-Z12))</f>
        <v>2.8799999999999937E-3</v>
      </c>
      <c r="AF12" s="134">
        <f>IF(AE12="","",AC12*O12/T12)</f>
        <v>3.0315789473683942E-2</v>
      </c>
      <c r="AG12" s="135">
        <f>M12+AC12</f>
        <v>5464.7195674050163</v>
      </c>
      <c r="AH12" s="2"/>
      <c r="AI12" s="2"/>
      <c r="AJ12" s="2"/>
      <c r="AK12" s="2"/>
      <c r="AL12" s="2"/>
      <c r="AM12" s="3"/>
      <c r="AN12" s="3"/>
      <c r="AO12" s="3"/>
      <c r="AP12" s="3"/>
      <c r="AQ12" s="3" t="s">
        <v>110</v>
      </c>
      <c r="AR12" s="3"/>
      <c r="AS12" s="3"/>
      <c r="AT12" s="3"/>
      <c r="AU12" s="3"/>
      <c r="AV12" s="3"/>
      <c r="AW12" s="3"/>
      <c r="AY12" s="5">
        <v>0.7</v>
      </c>
      <c r="AZ12" s="5">
        <v>0.7</v>
      </c>
      <c r="BA12" s="4">
        <v>6</v>
      </c>
      <c r="BC12" s="6" t="s">
        <v>120</v>
      </c>
      <c r="BD12" s="7" t="str">
        <f t="shared" ref="BD12:BD34" si="7">$AV$6</f>
        <v>Minors</v>
      </c>
      <c r="BG12" s="4" t="s">
        <v>77</v>
      </c>
      <c r="BH12" s="4" t="s">
        <v>121</v>
      </c>
    </row>
    <row r="13" spans="1:60" ht="13.5">
      <c r="A13" s="1"/>
      <c r="B13" s="125" t="s">
        <v>60</v>
      </c>
      <c r="C13" s="126">
        <f>C12+1</f>
        <v>8</v>
      </c>
      <c r="D13" s="11" t="s">
        <v>102</v>
      </c>
      <c r="E13" s="127" t="s">
        <v>114</v>
      </c>
      <c r="F13" s="13" t="s">
        <v>62</v>
      </c>
      <c r="G13" s="13"/>
      <c r="H13" s="29" t="s">
        <v>79</v>
      </c>
      <c r="I13" s="14" t="s">
        <v>64</v>
      </c>
      <c r="J13" s="15" t="s">
        <v>65</v>
      </c>
      <c r="K13" s="16" t="s">
        <v>66</v>
      </c>
      <c r="L13" s="136" t="s">
        <v>67</v>
      </c>
      <c r="M13" s="17">
        <f>AG12</f>
        <v>5464.7195674050163</v>
      </c>
      <c r="N13" s="52">
        <f t="shared" si="1"/>
        <v>54.647195674050167</v>
      </c>
      <c r="O13" s="19">
        <v>0.01</v>
      </c>
      <c r="P13" s="20">
        <v>0.05</v>
      </c>
      <c r="Q13" s="129">
        <v>0.68276999999999999</v>
      </c>
      <c r="R13" s="130">
        <v>0.68325000000000002</v>
      </c>
      <c r="S13" s="51">
        <f>IF(R13="","",IF(K13="Long",Q13-R13,R13-Q13))</f>
        <v>4.8000000000003595E-4</v>
      </c>
      <c r="T13" s="131">
        <f>IF(S13="","",N13)</f>
        <v>54.647195674050167</v>
      </c>
      <c r="U13" s="130">
        <v>0.68161000000000005</v>
      </c>
      <c r="V13" s="51">
        <f>IF(U13="","",IF(K13="Long",U13-Q13,Q13-U13))</f>
        <v>1.1599999999999389E-3</v>
      </c>
      <c r="W13" s="132">
        <f t="shared" si="3"/>
        <v>132.06405621227105</v>
      </c>
      <c r="X13" s="133">
        <f t="shared" si="5"/>
        <v>2.4166666666663583</v>
      </c>
      <c r="Y13" s="127" t="s">
        <v>114</v>
      </c>
      <c r="Z13" s="130">
        <v>0.68325000000000002</v>
      </c>
      <c r="AA13" s="25">
        <v>0</v>
      </c>
      <c r="AB13" s="25">
        <v>0</v>
      </c>
      <c r="AC13" s="25">
        <f>-T13</f>
        <v>-54.647195674050167</v>
      </c>
      <c r="AD13" s="52">
        <f t="shared" si="6"/>
        <v>-54.647195674050167</v>
      </c>
      <c r="AE13" s="51">
        <f>IF(Z13="","",IF(K13="Long",Z13-Q13,Q13-Z13))</f>
        <v>-4.8000000000003595E-4</v>
      </c>
      <c r="AF13" s="134">
        <f>IF(AE13="","",AC13*O13/T13)</f>
        <v>-0.01</v>
      </c>
      <c r="AG13" s="135">
        <f>M13+AC13</f>
        <v>5410.0723717309666</v>
      </c>
      <c r="AH13" s="2"/>
      <c r="AI13" s="2"/>
      <c r="AJ13" s="2"/>
      <c r="AK13" s="2"/>
      <c r="AL13" s="2"/>
      <c r="AM13" s="3"/>
      <c r="AN13" s="3"/>
      <c r="AO13" s="3"/>
      <c r="AP13" s="3"/>
      <c r="AQ13" s="3" t="s">
        <v>119</v>
      </c>
      <c r="AR13" s="3"/>
      <c r="AS13" s="3"/>
      <c r="AT13" s="3"/>
      <c r="AU13" s="3"/>
      <c r="AV13" s="3"/>
      <c r="AW13" s="3"/>
      <c r="AY13" s="5">
        <v>0.8</v>
      </c>
      <c r="AZ13" s="5">
        <v>0.8</v>
      </c>
      <c r="BA13" s="4">
        <v>7</v>
      </c>
      <c r="BC13" s="6" t="s">
        <v>122</v>
      </c>
      <c r="BD13" s="7" t="str">
        <f t="shared" si="7"/>
        <v>Minors</v>
      </c>
      <c r="BG13" s="4" t="s">
        <v>91</v>
      </c>
      <c r="BH13" s="4" t="s">
        <v>123</v>
      </c>
    </row>
    <row r="14" spans="1:60" ht="13.5">
      <c r="A14" s="1"/>
      <c r="B14" s="125" t="s">
        <v>60</v>
      </c>
      <c r="C14" s="126">
        <f t="shared" si="4"/>
        <v>9</v>
      </c>
      <c r="D14" s="11" t="s">
        <v>102</v>
      </c>
      <c r="E14" s="127" t="s">
        <v>114</v>
      </c>
      <c r="F14" s="13" t="s">
        <v>62</v>
      </c>
      <c r="G14" s="13"/>
      <c r="H14" s="29" t="s">
        <v>124</v>
      </c>
      <c r="I14" s="14" t="s">
        <v>64</v>
      </c>
      <c r="J14" s="15" t="s">
        <v>65</v>
      </c>
      <c r="K14" s="16" t="s">
        <v>81</v>
      </c>
      <c r="L14" s="40" t="s">
        <v>52</v>
      </c>
      <c r="M14" s="17">
        <f>AG13</f>
        <v>5410.0723717309666</v>
      </c>
      <c r="N14" s="52">
        <f t="shared" si="1"/>
        <v>54.10072371730967</v>
      </c>
      <c r="O14" s="19">
        <v>0.01</v>
      </c>
      <c r="P14" s="20">
        <v>0.03</v>
      </c>
      <c r="Q14" s="129">
        <v>1.54298</v>
      </c>
      <c r="R14" s="130">
        <v>1.54138</v>
      </c>
      <c r="S14" s="51">
        <f>IF(R14="","",IF(K14="Long",Q14-R14,R14-Q14))</f>
        <v>1.6000000000000458E-3</v>
      </c>
      <c r="T14" s="131">
        <f t="shared" ref="T14:T77" si="8">IF(S14="","",N14)</f>
        <v>54.10072371730967</v>
      </c>
      <c r="U14" s="130">
        <v>1.54783</v>
      </c>
      <c r="V14" s="51">
        <f>IF(U14="","",IF(K14="Long",U14-Q14,Q14-U14))</f>
        <v>4.850000000000021E-3</v>
      </c>
      <c r="W14" s="132">
        <f t="shared" si="3"/>
        <v>163.99281876809096</v>
      </c>
      <c r="X14" s="133">
        <f t="shared" si="5"/>
        <v>3.0312499999999263</v>
      </c>
      <c r="Y14" s="127" t="s">
        <v>114</v>
      </c>
      <c r="Z14" s="130">
        <v>1.54783</v>
      </c>
      <c r="AA14" s="25">
        <v>0</v>
      </c>
      <c r="AB14" s="25">
        <v>0</v>
      </c>
      <c r="AC14" s="25">
        <f>+W14</f>
        <v>163.99281876809096</v>
      </c>
      <c r="AD14" s="52">
        <f t="shared" si="6"/>
        <v>163.99281876809096</v>
      </c>
      <c r="AE14" s="51">
        <f>IF(Z14="","",IF(K14="Long",Z14-Q14,Q14-Z14))</f>
        <v>4.850000000000021E-3</v>
      </c>
      <c r="AF14" s="134">
        <f>IF(AE14="","",AC14*O14/T14)</f>
        <v>3.0312499999999264E-2</v>
      </c>
      <c r="AG14" s="135">
        <f>M14+AC14</f>
        <v>5574.0651904990573</v>
      </c>
      <c r="AH14" s="2"/>
      <c r="AI14" s="2"/>
      <c r="AJ14" s="2"/>
      <c r="AK14" s="2"/>
      <c r="AL14" s="2"/>
      <c r="AM14" s="3"/>
      <c r="AN14" s="3"/>
      <c r="AO14" s="3"/>
      <c r="AP14" s="3"/>
      <c r="AQ14" s="3" t="s">
        <v>65</v>
      </c>
      <c r="AR14" s="3"/>
      <c r="AS14" s="3"/>
      <c r="AT14" s="3"/>
      <c r="AU14" s="3"/>
      <c r="AV14" s="3"/>
      <c r="AW14" s="3"/>
      <c r="AY14" s="5">
        <v>0.9</v>
      </c>
      <c r="AZ14" s="5">
        <v>0.9</v>
      </c>
      <c r="BA14" s="4">
        <v>8</v>
      </c>
      <c r="BC14" s="6" t="s">
        <v>125</v>
      </c>
      <c r="BD14" s="7" t="str">
        <f t="shared" si="7"/>
        <v>Minors</v>
      </c>
      <c r="BG14" s="4" t="s">
        <v>71</v>
      </c>
      <c r="BH14" s="4" t="s">
        <v>126</v>
      </c>
    </row>
    <row r="15" spans="1:60" ht="13.5">
      <c r="A15" s="1"/>
      <c r="B15" s="125" t="s">
        <v>100</v>
      </c>
      <c r="C15" s="126">
        <f t="shared" si="4"/>
        <v>10</v>
      </c>
      <c r="D15" s="11" t="s">
        <v>48</v>
      </c>
      <c r="E15" s="127" t="s">
        <v>127</v>
      </c>
      <c r="F15" s="13" t="s">
        <v>49</v>
      </c>
      <c r="G15" s="13"/>
      <c r="H15" s="29" t="s">
        <v>76</v>
      </c>
      <c r="I15" s="14" t="s">
        <v>64</v>
      </c>
      <c r="J15" s="15" t="s">
        <v>119</v>
      </c>
      <c r="K15" s="16" t="s">
        <v>66</v>
      </c>
      <c r="L15" s="40" t="s">
        <v>52</v>
      </c>
      <c r="M15" s="17">
        <f>AG14</f>
        <v>5574.0651904990573</v>
      </c>
      <c r="N15" s="52">
        <f t="shared" si="1"/>
        <v>55.740651904990571</v>
      </c>
      <c r="O15" s="19">
        <v>0.01</v>
      </c>
      <c r="P15" s="20">
        <v>0.05</v>
      </c>
      <c r="Q15" s="129">
        <v>0.69250999999999996</v>
      </c>
      <c r="R15" s="130">
        <v>0.69433999999999996</v>
      </c>
      <c r="S15" s="51">
        <f>IF(R15="","",IF(K15="Long",Q15-R15,R15-Q15))</f>
        <v>1.8299999999999983E-3</v>
      </c>
      <c r="T15" s="131">
        <f t="shared" si="8"/>
        <v>55.740651904990571</v>
      </c>
      <c r="U15" s="130">
        <v>0.68798999999999999</v>
      </c>
      <c r="V15" s="51">
        <f>IF(U15="","",IF(K15="Long",U15-Q15,Q15-U15))</f>
        <v>4.5199999999999685E-3</v>
      </c>
      <c r="W15" s="132">
        <f t="shared" si="3"/>
        <v>137.67636426806331</v>
      </c>
      <c r="X15" s="133">
        <f t="shared" si="5"/>
        <v>2.4699453551912418</v>
      </c>
      <c r="Y15" s="127" t="s">
        <v>127</v>
      </c>
      <c r="Z15" s="130">
        <v>0.68798999999999999</v>
      </c>
      <c r="AA15" s="25">
        <v>0</v>
      </c>
      <c r="AB15" s="25">
        <v>0</v>
      </c>
      <c r="AC15" s="25">
        <f>+W15</f>
        <v>137.67636426806331</v>
      </c>
      <c r="AD15" s="52">
        <f t="shared" si="6"/>
        <v>137.67636426806331</v>
      </c>
      <c r="AE15" s="51">
        <f>IF(Z15="","",IF(K15="Long",Z15-Q15,Q15-Z15))</f>
        <v>4.5199999999999685E-3</v>
      </c>
      <c r="AF15" s="134">
        <f>IF(AE15="","",AC15*O15/T15)</f>
        <v>2.4699453551912418E-2</v>
      </c>
      <c r="AG15" s="135">
        <f>M15+AC15</f>
        <v>5711.7415547671208</v>
      </c>
      <c r="AH15" s="2"/>
      <c r="AI15" s="2"/>
      <c r="AJ15" s="2"/>
      <c r="AK15" s="2"/>
      <c r="AL15" s="2"/>
      <c r="AQ15" s="4" t="s">
        <v>128</v>
      </c>
      <c r="AY15" s="5">
        <v>1</v>
      </c>
      <c r="AZ15" s="5">
        <v>1</v>
      </c>
      <c r="BC15" s="6" t="s">
        <v>63</v>
      </c>
      <c r="BD15" s="7" t="str">
        <f t="shared" si="7"/>
        <v>Minors</v>
      </c>
      <c r="BG15" s="4" t="s">
        <v>107</v>
      </c>
      <c r="BH15" s="4" t="s">
        <v>129</v>
      </c>
    </row>
    <row r="16" spans="1:60" ht="13.5">
      <c r="A16" s="1"/>
      <c r="B16" s="125" t="s">
        <v>60</v>
      </c>
      <c r="C16" s="126">
        <f t="shared" si="4"/>
        <v>11</v>
      </c>
      <c r="D16" s="11" t="s">
        <v>82</v>
      </c>
      <c r="E16" s="127" t="s">
        <v>130</v>
      </c>
      <c r="F16" s="13" t="s">
        <v>83</v>
      </c>
      <c r="G16" s="13"/>
      <c r="H16" s="29" t="s">
        <v>131</v>
      </c>
      <c r="I16" s="14" t="s">
        <v>64</v>
      </c>
      <c r="J16" s="15" t="s">
        <v>119</v>
      </c>
      <c r="K16" s="16" t="s">
        <v>81</v>
      </c>
      <c r="L16" s="136" t="s">
        <v>67</v>
      </c>
      <c r="M16" s="17">
        <f>AG15</f>
        <v>5711.7415547671208</v>
      </c>
      <c r="N16" s="52">
        <f t="shared" si="1"/>
        <v>57.117415547671207</v>
      </c>
      <c r="O16" s="19">
        <v>0.01</v>
      </c>
      <c r="P16" s="20">
        <v>0.01</v>
      </c>
      <c r="Q16" s="129">
        <v>1.3240099999999999</v>
      </c>
      <c r="R16" s="130">
        <v>1.3232299999999999</v>
      </c>
      <c r="S16" s="51">
        <f>IF(R16="","",IF(K16="Long",Q16-R16,R16-Q16))</f>
        <v>7.8000000000000291E-4</v>
      </c>
      <c r="T16" s="131">
        <f t="shared" si="8"/>
        <v>57.117415547671207</v>
      </c>
      <c r="U16" s="130">
        <v>1.3263499999999999</v>
      </c>
      <c r="V16" s="51">
        <f>IF(U16="","",IF(K16="Long",U16-Q16,Q16-U16))</f>
        <v>2.3400000000000087E-3</v>
      </c>
      <c r="W16" s="132">
        <f t="shared" si="3"/>
        <v>171.35224664301361</v>
      </c>
      <c r="X16" s="133">
        <f t="shared" si="5"/>
        <v>3</v>
      </c>
      <c r="Y16" s="127" t="s">
        <v>130</v>
      </c>
      <c r="Z16" s="130">
        <v>1.3232299999999999</v>
      </c>
      <c r="AA16" s="25">
        <v>0</v>
      </c>
      <c r="AB16" s="25">
        <v>0</v>
      </c>
      <c r="AC16" s="25">
        <f>-T16</f>
        <v>-57.117415547671207</v>
      </c>
      <c r="AD16" s="52">
        <f t="shared" si="6"/>
        <v>-57.117415547671207</v>
      </c>
      <c r="AE16" s="51">
        <f>IF(Z16="","",IF(K16="Long",Z16-Q16,Q16-Z16))</f>
        <v>-7.8000000000000291E-4</v>
      </c>
      <c r="AF16" s="134">
        <f>IF(AE16="","",AC16*O16/T16)</f>
        <v>-0.01</v>
      </c>
      <c r="AG16" s="135">
        <f>M16+AC16</f>
        <v>5654.6241392194497</v>
      </c>
      <c r="AH16" s="2"/>
      <c r="AI16" s="2"/>
      <c r="AJ16" s="2"/>
      <c r="AK16" s="2"/>
      <c r="AL16" s="2"/>
      <c r="AQ16" s="4" t="s">
        <v>132</v>
      </c>
      <c r="BC16" s="6" t="s">
        <v>133</v>
      </c>
      <c r="BD16" s="7" t="str">
        <f t="shared" si="7"/>
        <v>Minors</v>
      </c>
    </row>
    <row r="17" spans="1:60" ht="13.5">
      <c r="A17" s="1"/>
      <c r="B17" s="125" t="s">
        <v>60</v>
      </c>
      <c r="C17" s="126">
        <f t="shared" si="4"/>
        <v>12</v>
      </c>
      <c r="D17" s="11" t="s">
        <v>82</v>
      </c>
      <c r="E17" s="127" t="s">
        <v>130</v>
      </c>
      <c r="F17" s="13" t="s">
        <v>83</v>
      </c>
      <c r="G17" s="13"/>
      <c r="H17" s="29" t="s">
        <v>117</v>
      </c>
      <c r="I17" s="14" t="s">
        <v>64</v>
      </c>
      <c r="J17" s="15" t="s">
        <v>119</v>
      </c>
      <c r="K17" s="16" t="s">
        <v>81</v>
      </c>
      <c r="L17" s="136" t="s">
        <v>67</v>
      </c>
      <c r="M17" s="17">
        <f>AG16</f>
        <v>5654.6241392194497</v>
      </c>
      <c r="N17" s="52">
        <f t="shared" si="1"/>
        <v>56.546241392194496</v>
      </c>
      <c r="O17" s="19">
        <v>0.01</v>
      </c>
      <c r="P17" s="20">
        <v>0.22</v>
      </c>
      <c r="Q17" s="129">
        <v>131.99</v>
      </c>
      <c r="R17" s="130">
        <v>131.596</v>
      </c>
      <c r="S17" s="51">
        <f>IF(R17="","",IF(K17="Long",Q17-R17,R17-Q17))</f>
        <v>0.39400000000000546</v>
      </c>
      <c r="T17" s="131">
        <f t="shared" si="8"/>
        <v>56.546241392194496</v>
      </c>
      <c r="U17" s="130">
        <v>133.5</v>
      </c>
      <c r="V17" s="51">
        <f>IF(U17="","",IF(K17="Long",U17-Q17,Q17-U17))</f>
        <v>1.5099999999999909</v>
      </c>
      <c r="W17" s="132">
        <f t="shared" si="3"/>
        <v>216.71275254368527</v>
      </c>
      <c r="X17" s="133">
        <f t="shared" si="5"/>
        <v>3.8324873096445939</v>
      </c>
      <c r="Y17" s="127" t="s">
        <v>130</v>
      </c>
      <c r="Z17" s="130">
        <v>131.596</v>
      </c>
      <c r="AA17" s="25">
        <v>0</v>
      </c>
      <c r="AB17" s="25">
        <v>0</v>
      </c>
      <c r="AC17" s="25">
        <f>-T17</f>
        <v>-56.546241392194496</v>
      </c>
      <c r="AD17" s="52">
        <f t="shared" si="6"/>
        <v>-56.546241392194496</v>
      </c>
      <c r="AE17" s="51">
        <f>IF(Z17="","",IF(K17="Long",Z17-Q17,Q17-Z17))</f>
        <v>-0.39400000000000546</v>
      </c>
      <c r="AF17" s="134">
        <f>IF(AE17="","",AC17*O17/T17)</f>
        <v>-0.01</v>
      </c>
      <c r="AG17" s="135">
        <f>M17+AC17</f>
        <v>5598.0778978272556</v>
      </c>
      <c r="AH17" s="2"/>
      <c r="AI17" s="2"/>
      <c r="AJ17" s="2"/>
      <c r="AK17" s="2"/>
      <c r="AL17" s="2"/>
      <c r="AQ17" s="4" t="s">
        <v>134</v>
      </c>
      <c r="BC17" s="6" t="s">
        <v>93</v>
      </c>
      <c r="BD17" s="7" t="str">
        <f t="shared" si="7"/>
        <v>Minors</v>
      </c>
      <c r="BE17" s="123" t="s">
        <v>135</v>
      </c>
      <c r="BF17" s="124"/>
      <c r="BG17" s="124"/>
    </row>
    <row r="18" spans="1:60" ht="13.5">
      <c r="A18" s="1"/>
      <c r="B18" s="125" t="s">
        <v>60</v>
      </c>
      <c r="C18" s="126">
        <f t="shared" si="4"/>
        <v>13</v>
      </c>
      <c r="D18" s="11" t="s">
        <v>82</v>
      </c>
      <c r="E18" s="127" t="s">
        <v>136</v>
      </c>
      <c r="F18" s="13" t="s">
        <v>49</v>
      </c>
      <c r="G18" s="13"/>
      <c r="H18" s="29" t="s">
        <v>117</v>
      </c>
      <c r="I18" s="14" t="s">
        <v>64</v>
      </c>
      <c r="J18" s="15" t="s">
        <v>80</v>
      </c>
      <c r="K18" s="16" t="s">
        <v>66</v>
      </c>
      <c r="L18" s="40" t="s">
        <v>52</v>
      </c>
      <c r="M18" s="17">
        <f>AG17</f>
        <v>5598.0778978272556</v>
      </c>
      <c r="N18" s="52">
        <f t="shared" si="1"/>
        <v>55.980778978272554</v>
      </c>
      <c r="O18" s="19">
        <v>0.01</v>
      </c>
      <c r="P18" s="20">
        <v>0.02</v>
      </c>
      <c r="Q18" s="129">
        <v>0.69301000000000001</v>
      </c>
      <c r="R18" s="130">
        <v>0.69345999999999997</v>
      </c>
      <c r="S18" s="51">
        <f>IF(R18="","",IF(K18="Long",Q18-R18,R18-Q18))</f>
        <v>4.4999999999995044E-4</v>
      </c>
      <c r="T18" s="131">
        <f t="shared" si="8"/>
        <v>55.980778978272554</v>
      </c>
      <c r="U18" s="130">
        <v>0.69166000000000005</v>
      </c>
      <c r="V18" s="51">
        <f>IF(U18="","",IF(K18="Long",U18-Q18,Q18-U18))</f>
        <v>1.3499999999999623E-3</v>
      </c>
      <c r="W18" s="132">
        <f t="shared" si="3"/>
        <v>167.94233693483147</v>
      </c>
      <c r="X18" s="133">
        <f t="shared" si="5"/>
        <v>3.0000000000002469</v>
      </c>
      <c r="Y18" s="127" t="s">
        <v>136</v>
      </c>
      <c r="Z18" s="130">
        <v>0.69166000000000005</v>
      </c>
      <c r="AA18" s="25">
        <v>0</v>
      </c>
      <c r="AB18" s="25">
        <v>0</v>
      </c>
      <c r="AC18" s="25">
        <f>+W18</f>
        <v>167.94233693483147</v>
      </c>
      <c r="AD18" s="52">
        <f t="shared" si="6"/>
        <v>167.94233693483147</v>
      </c>
      <c r="AE18" s="51">
        <f>IF(Z18="","",IF(K18="Long",Z18-Q18,Q18-Z18))</f>
        <v>1.3499999999999623E-3</v>
      </c>
      <c r="AF18" s="134">
        <f>IF(AE18="","",AC18*O18/T18)</f>
        <v>3.0000000000002466E-2</v>
      </c>
      <c r="AG18" s="135">
        <f>M18+AC18</f>
        <v>5766.0202347620871</v>
      </c>
      <c r="AH18" s="2"/>
      <c r="AI18" s="2"/>
      <c r="AJ18" s="2"/>
      <c r="AK18" s="2"/>
      <c r="AL18" s="2"/>
      <c r="AQ18" s="4" t="s">
        <v>80</v>
      </c>
      <c r="BC18" s="6" t="s">
        <v>137</v>
      </c>
      <c r="BD18" s="7" t="str">
        <f t="shared" si="7"/>
        <v>Minors</v>
      </c>
      <c r="BG18" s="4" t="s">
        <v>77</v>
      </c>
      <c r="BH18" s="4" t="s">
        <v>138</v>
      </c>
    </row>
    <row r="19" spans="1:60" ht="13.5">
      <c r="A19" s="1"/>
      <c r="B19" s="125" t="s">
        <v>100</v>
      </c>
      <c r="C19" s="126">
        <f t="shared" si="4"/>
        <v>14</v>
      </c>
      <c r="D19" s="11" t="s">
        <v>94</v>
      </c>
      <c r="E19" s="127" t="s">
        <v>139</v>
      </c>
      <c r="F19" s="13" t="s">
        <v>49</v>
      </c>
      <c r="G19" s="13"/>
      <c r="H19" s="29" t="s">
        <v>106</v>
      </c>
      <c r="I19" s="14" t="s">
        <v>64</v>
      </c>
      <c r="J19" s="15" t="s">
        <v>119</v>
      </c>
      <c r="K19" s="16" t="s">
        <v>66</v>
      </c>
      <c r="L19" s="40" t="s">
        <v>52</v>
      </c>
      <c r="M19" s="17">
        <f>AG18</f>
        <v>5766.0202347620871</v>
      </c>
      <c r="N19" s="52">
        <f t="shared" si="1"/>
        <v>57.660202347620874</v>
      </c>
      <c r="O19" s="19">
        <v>0.01</v>
      </c>
      <c r="P19" s="20">
        <v>7.0000000000000007E-2</v>
      </c>
      <c r="Q19" s="129">
        <v>1.33704</v>
      </c>
      <c r="R19" s="130">
        <v>1.3380799999999999</v>
      </c>
      <c r="S19" s="51">
        <f>IF(R19="","",IF(K19="Long",Q19-R19,R19-Q19))</f>
        <v>1.0399999999999299E-3</v>
      </c>
      <c r="T19" s="131">
        <f t="shared" si="8"/>
        <v>57.660202347620874</v>
      </c>
      <c r="U19" s="130">
        <v>1.3335900000000001</v>
      </c>
      <c r="V19" s="51">
        <f>IF(U19="","",IF(K19="Long",U19-Q19,Q19-U19))</f>
        <v>3.4499999999999531E-3</v>
      </c>
      <c r="W19" s="132">
        <f t="shared" si="3"/>
        <v>191.2766327877911</v>
      </c>
      <c r="X19" s="133">
        <f t="shared" si="5"/>
        <v>3.317307692307871</v>
      </c>
      <c r="Y19" s="127" t="s">
        <v>139</v>
      </c>
      <c r="Z19" s="130">
        <v>1.3335900000000001</v>
      </c>
      <c r="AA19" s="25">
        <v>0</v>
      </c>
      <c r="AB19" s="25">
        <v>0</v>
      </c>
      <c r="AC19" s="25">
        <f>+W19</f>
        <v>191.2766327877911</v>
      </c>
      <c r="AD19" s="52">
        <f t="shared" si="6"/>
        <v>191.2766327877911</v>
      </c>
      <c r="AE19" s="51">
        <f>IF(Z19="","",IF(K19="Long",Z19-Q19,Q19-Z19))</f>
        <v>3.4499999999999531E-3</v>
      </c>
      <c r="AF19" s="134">
        <f>IF(AE19="","",AC19*O19/T19)</f>
        <v>3.3173076923078713E-2</v>
      </c>
      <c r="AG19" s="135">
        <f>M19+AC19</f>
        <v>5957.2968675498778</v>
      </c>
      <c r="AH19" s="2"/>
      <c r="AI19" s="2"/>
      <c r="AJ19" s="2"/>
      <c r="AK19" s="2"/>
      <c r="AL19" s="2"/>
      <c r="BC19" s="6" t="s">
        <v>124</v>
      </c>
      <c r="BD19" s="7" t="str">
        <f t="shared" si="7"/>
        <v>Minors</v>
      </c>
      <c r="BG19" s="4" t="s">
        <v>91</v>
      </c>
      <c r="BH19" s="4" t="s">
        <v>140</v>
      </c>
    </row>
    <row r="20" spans="1:60" ht="13.5">
      <c r="A20" s="1"/>
      <c r="B20" s="125" t="s">
        <v>60</v>
      </c>
      <c r="C20" s="126">
        <f t="shared" si="4"/>
        <v>15</v>
      </c>
      <c r="D20" s="11" t="s">
        <v>94</v>
      </c>
      <c r="E20" s="127" t="s">
        <v>139</v>
      </c>
      <c r="F20" s="13" t="s">
        <v>49</v>
      </c>
      <c r="G20" s="13"/>
      <c r="H20" s="29" t="s">
        <v>141</v>
      </c>
      <c r="I20" s="14" t="s">
        <v>64</v>
      </c>
      <c r="J20" s="15" t="s">
        <v>80</v>
      </c>
      <c r="K20" s="16" t="s">
        <v>81</v>
      </c>
      <c r="L20" s="136" t="s">
        <v>67</v>
      </c>
      <c r="M20" s="17">
        <f>AG19</f>
        <v>5957.2968675498778</v>
      </c>
      <c r="N20" s="52">
        <f t="shared" si="1"/>
        <v>59.572968675498778</v>
      </c>
      <c r="O20" s="19">
        <v>0.01</v>
      </c>
      <c r="P20" s="20">
        <v>0.02</v>
      </c>
      <c r="Q20" s="129">
        <v>159.393</v>
      </c>
      <c r="R20" s="130">
        <v>159.297</v>
      </c>
      <c r="S20" s="51">
        <f>IF(R20="","",IF(K20="Long",Q20-R20,R20-Q20))</f>
        <v>9.6000000000003638E-2</v>
      </c>
      <c r="T20" s="131">
        <f t="shared" si="8"/>
        <v>59.572968675498778</v>
      </c>
      <c r="U20" s="130">
        <v>159.68199999999999</v>
      </c>
      <c r="V20" s="51">
        <f>IF(U20="","",IF(K20="Long",U20-Q20,Q20-U20))</f>
        <v>0.28899999999998727</v>
      </c>
      <c r="W20" s="132">
        <f t="shared" si="3"/>
        <v>179.3394577835181</v>
      </c>
      <c r="X20" s="133">
        <f t="shared" si="5"/>
        <v>3.01041666666642</v>
      </c>
      <c r="Y20" s="127" t="s">
        <v>139</v>
      </c>
      <c r="Z20" s="130">
        <v>159.297</v>
      </c>
      <c r="AA20" s="25">
        <v>0</v>
      </c>
      <c r="AB20" s="25">
        <v>0</v>
      </c>
      <c r="AC20" s="25">
        <f>-T20</f>
        <v>-59.572968675498778</v>
      </c>
      <c r="AD20" s="52">
        <f t="shared" si="6"/>
        <v>-59.572968675498778</v>
      </c>
      <c r="AE20" s="51">
        <f>IF(Z20="","",IF(K20="Long",Z20-Q20,Q20-Z20))</f>
        <v>-9.6000000000003638E-2</v>
      </c>
      <c r="AF20" s="134">
        <f>IF(AE20="","",AC20*O20/T20)</f>
        <v>-0.01</v>
      </c>
      <c r="AG20" s="135">
        <f>M20+AC20</f>
        <v>5897.7238988743793</v>
      </c>
      <c r="AH20" s="2"/>
      <c r="AI20" s="2"/>
      <c r="AJ20" s="2"/>
      <c r="AK20" s="2"/>
      <c r="AL20" s="2"/>
      <c r="BC20" s="6" t="s">
        <v>142</v>
      </c>
      <c r="BD20" s="7" t="str">
        <f t="shared" si="7"/>
        <v>Minors</v>
      </c>
      <c r="BG20" s="4" t="s">
        <v>71</v>
      </c>
      <c r="BH20" s="4" t="s">
        <v>143</v>
      </c>
    </row>
    <row r="21" spans="1:60" ht="13.5">
      <c r="A21" s="1"/>
      <c r="B21" s="125" t="s">
        <v>60</v>
      </c>
      <c r="C21" s="126">
        <f t="shared" si="4"/>
        <v>16</v>
      </c>
      <c r="D21" s="11" t="s">
        <v>94</v>
      </c>
      <c r="E21" s="127" t="s">
        <v>139</v>
      </c>
      <c r="F21" s="13" t="s">
        <v>49</v>
      </c>
      <c r="G21" s="13"/>
      <c r="H21" s="29" t="s">
        <v>79</v>
      </c>
      <c r="I21" s="14" t="s">
        <v>64</v>
      </c>
      <c r="J21" s="15" t="s">
        <v>80</v>
      </c>
      <c r="K21" s="16" t="s">
        <v>81</v>
      </c>
      <c r="L21" s="40" t="s">
        <v>52</v>
      </c>
      <c r="M21" s="17">
        <f>AG20</f>
        <v>5897.7238988743793</v>
      </c>
      <c r="N21" s="52">
        <f t="shared" si="1"/>
        <v>58.977238988743792</v>
      </c>
      <c r="O21" s="19">
        <v>0.01</v>
      </c>
      <c r="P21" s="20">
        <v>0.25</v>
      </c>
      <c r="Q21" s="129">
        <v>1.2193799999999999</v>
      </c>
      <c r="R21" s="130">
        <v>1.21872</v>
      </c>
      <c r="S21" s="51">
        <f>IF(R21="","",IF(K21="Long",Q21-R21,R21-Q21))</f>
        <v>6.599999999998829E-4</v>
      </c>
      <c r="T21" s="131">
        <f t="shared" si="8"/>
        <v>58.977238988743792</v>
      </c>
      <c r="U21" s="130">
        <v>1.22136</v>
      </c>
      <c r="V21" s="51">
        <f>IF(U21="","",IF(K21="Long",U21-Q21,Q21-U21))</f>
        <v>1.9800000000000928E-3</v>
      </c>
      <c r="W21" s="132">
        <f t="shared" si="3"/>
        <v>176.93171696627107</v>
      </c>
      <c r="X21" s="133">
        <f t="shared" si="5"/>
        <v>3.0000000000006728</v>
      </c>
      <c r="Y21" s="127" t="s">
        <v>139</v>
      </c>
      <c r="Z21" s="130">
        <v>1.22</v>
      </c>
      <c r="AA21" s="25">
        <v>0</v>
      </c>
      <c r="AB21" s="25">
        <v>0</v>
      </c>
      <c r="AC21" s="25">
        <f>+W21</f>
        <v>176.93171696627107</v>
      </c>
      <c r="AD21" s="52">
        <f t="shared" si="6"/>
        <v>176.93171696627107</v>
      </c>
      <c r="AE21" s="51">
        <f>IF(Z21="","",IF(K21="Long",Z21-Q21,Q21-Z21))</f>
        <v>6.2000000000006494E-4</v>
      </c>
      <c r="AF21" s="134">
        <f>IF(AE21="","",AC21*O21/T21)</f>
        <v>3.0000000000006733E-2</v>
      </c>
      <c r="AG21" s="135">
        <f>M21+AC21</f>
        <v>6074.6556158406502</v>
      </c>
      <c r="AH21" s="2"/>
      <c r="AI21" s="2"/>
      <c r="AJ21" s="2"/>
      <c r="AK21" s="2"/>
      <c r="AL21" s="2"/>
      <c r="BC21" s="6" t="s">
        <v>144</v>
      </c>
      <c r="BD21" s="7" t="str">
        <f t="shared" si="7"/>
        <v>Minors</v>
      </c>
      <c r="BG21" s="4" t="s">
        <v>107</v>
      </c>
      <c r="BH21" s="4" t="s">
        <v>145</v>
      </c>
    </row>
    <row r="22" spans="1:60" ht="13.5">
      <c r="A22" s="1"/>
      <c r="B22" s="125" t="s">
        <v>60</v>
      </c>
      <c r="C22" s="126">
        <f t="shared" si="4"/>
        <v>17</v>
      </c>
      <c r="D22" s="11" t="s">
        <v>94</v>
      </c>
      <c r="E22" s="127" t="s">
        <v>139</v>
      </c>
      <c r="F22" s="13" t="s">
        <v>49</v>
      </c>
      <c r="G22" s="13"/>
      <c r="H22" s="29" t="s">
        <v>146</v>
      </c>
      <c r="I22" s="14" t="s">
        <v>64</v>
      </c>
      <c r="J22" s="15" t="s">
        <v>119</v>
      </c>
      <c r="K22" s="16" t="s">
        <v>81</v>
      </c>
      <c r="L22" s="40" t="s">
        <v>52</v>
      </c>
      <c r="M22" s="17">
        <f>AG21</f>
        <v>6074.6556158406502</v>
      </c>
      <c r="N22" s="52">
        <f t="shared" si="1"/>
        <v>60.746556158406506</v>
      </c>
      <c r="O22" s="19">
        <v>0.01</v>
      </c>
      <c r="P22" s="20">
        <v>0.01</v>
      </c>
      <c r="Q22" s="129">
        <v>141.852</v>
      </c>
      <c r="R22" s="130">
        <v>141.55099999999999</v>
      </c>
      <c r="S22" s="51">
        <f>IF(R22="","",IF(K22="Long",Q22-R22,R22-Q22))</f>
        <v>0.30100000000001614</v>
      </c>
      <c r="T22" s="131">
        <f t="shared" si="8"/>
        <v>60.746556158406506</v>
      </c>
      <c r="U22" s="130">
        <v>142.755</v>
      </c>
      <c r="V22" s="51">
        <f>IF(U22="","",IF(K22="Long",U22-Q22,Q22-U22))</f>
        <v>0.90299999999999159</v>
      </c>
      <c r="W22" s="132">
        <f t="shared" si="3"/>
        <v>182.23966847520805</v>
      </c>
      <c r="X22" s="133">
        <f t="shared" si="5"/>
        <v>2.9999999999998113</v>
      </c>
      <c r="Y22" s="127" t="s">
        <v>139</v>
      </c>
      <c r="Z22" s="130">
        <v>142.755</v>
      </c>
      <c r="AA22" s="25">
        <v>0</v>
      </c>
      <c r="AB22" s="25">
        <v>0</v>
      </c>
      <c r="AC22" s="25">
        <f>+W22</f>
        <v>182.23966847520805</v>
      </c>
      <c r="AD22" s="52">
        <f t="shared" si="6"/>
        <v>182.23966847520805</v>
      </c>
      <c r="AE22" s="51">
        <f>IF(Z22="","",IF(K22="Long",Z22-Q22,Q22-Z22))</f>
        <v>0.90299999999999159</v>
      </c>
      <c r="AF22" s="134">
        <f>IF(AE22="","",AC22*O22/T22)</f>
        <v>2.9999999999998112E-2</v>
      </c>
      <c r="AG22" s="135">
        <f>M22+AC22</f>
        <v>6256.8952843158586</v>
      </c>
      <c r="AH22" s="2"/>
      <c r="AI22" s="2"/>
      <c r="AJ22" s="2"/>
      <c r="AK22" s="2"/>
      <c r="AL22" s="2"/>
      <c r="BC22" s="6" t="s">
        <v>147</v>
      </c>
      <c r="BD22" s="7" t="str">
        <f t="shared" si="7"/>
        <v>Minors</v>
      </c>
      <c r="BG22" s="4" t="s">
        <v>148</v>
      </c>
      <c r="BH22" s="4" t="s">
        <v>149</v>
      </c>
    </row>
    <row r="23" spans="1:60" ht="13.5">
      <c r="A23" s="1"/>
      <c r="B23" s="125" t="s">
        <v>60</v>
      </c>
      <c r="C23" s="126">
        <f t="shared" si="4"/>
        <v>18</v>
      </c>
      <c r="D23" s="11" t="s">
        <v>94</v>
      </c>
      <c r="E23" s="127" t="s">
        <v>139</v>
      </c>
      <c r="F23" s="13" t="s">
        <v>62</v>
      </c>
      <c r="G23" s="13"/>
      <c r="H23" s="29" t="s">
        <v>93</v>
      </c>
      <c r="I23" s="14" t="s">
        <v>64</v>
      </c>
      <c r="J23" s="15" t="s">
        <v>119</v>
      </c>
      <c r="K23" s="16" t="s">
        <v>81</v>
      </c>
      <c r="L23" s="40" t="s">
        <v>52</v>
      </c>
      <c r="M23" s="17">
        <f>AG22</f>
        <v>6256.8952843158586</v>
      </c>
      <c r="N23" s="52">
        <f t="shared" si="1"/>
        <v>62.568952843158584</v>
      </c>
      <c r="O23" s="19">
        <v>0.01</v>
      </c>
      <c r="P23" s="20">
        <v>0.01</v>
      </c>
      <c r="Q23" s="129">
        <v>99.573999999999998</v>
      </c>
      <c r="R23" s="130">
        <v>99.486000000000004</v>
      </c>
      <c r="S23" s="51">
        <f>IF(R23="","",IF(K23="Long",Q23-R23,R23-Q23))</f>
        <v>8.7999999999993861E-2</v>
      </c>
      <c r="T23" s="131">
        <f t="shared" si="8"/>
        <v>62.568952843158584</v>
      </c>
      <c r="U23" s="130">
        <v>99.837999999999994</v>
      </c>
      <c r="V23" s="51">
        <f>IF(U23="","",IF(K23="Long",U23-Q23,Q23-U23))</f>
        <v>0.26399999999999579</v>
      </c>
      <c r="W23" s="132">
        <f t="shared" si="3"/>
        <v>187.70685852948586</v>
      </c>
      <c r="X23" s="133">
        <f t="shared" si="5"/>
        <v>3.0000000000001616</v>
      </c>
      <c r="Y23" s="127" t="s">
        <v>139</v>
      </c>
      <c r="Z23" s="130">
        <v>99.837999999999994</v>
      </c>
      <c r="AA23" s="25">
        <v>0</v>
      </c>
      <c r="AB23" s="25">
        <v>0</v>
      </c>
      <c r="AC23" s="25">
        <f>+W23</f>
        <v>187.70685852948586</v>
      </c>
      <c r="AD23" s="52">
        <f t="shared" si="6"/>
        <v>187.70685852948586</v>
      </c>
      <c r="AE23" s="51">
        <f>IF(Z23="","",IF(K23="Long",Z23-Q23,Q23-Z23))</f>
        <v>0.26399999999999579</v>
      </c>
      <c r="AF23" s="134">
        <f>IF(AE23="","",AC23*O23/T23)</f>
        <v>3.0000000000001616E-2</v>
      </c>
      <c r="AG23" s="135">
        <f>M23+AC23</f>
        <v>6444.6021428453441</v>
      </c>
      <c r="AH23" s="2"/>
      <c r="AI23" s="2"/>
      <c r="AJ23" s="2"/>
      <c r="AK23" s="2"/>
      <c r="AL23" s="2"/>
      <c r="BC23" s="6" t="s">
        <v>146</v>
      </c>
      <c r="BD23" s="7" t="str">
        <f t="shared" si="7"/>
        <v>Minors</v>
      </c>
    </row>
    <row r="24" spans="1:60" ht="13.5">
      <c r="A24" s="1"/>
      <c r="B24" s="125" t="s">
        <v>60</v>
      </c>
      <c r="C24" s="126">
        <f t="shared" si="4"/>
        <v>19</v>
      </c>
      <c r="D24" s="11" t="s">
        <v>94</v>
      </c>
      <c r="E24" s="127" t="s">
        <v>139</v>
      </c>
      <c r="F24" s="13" t="s">
        <v>62</v>
      </c>
      <c r="G24" s="13"/>
      <c r="H24" s="29" t="s">
        <v>120</v>
      </c>
      <c r="I24" s="14" t="s">
        <v>64</v>
      </c>
      <c r="J24" s="15" t="s">
        <v>80</v>
      </c>
      <c r="K24" s="16" t="s">
        <v>66</v>
      </c>
      <c r="L24" s="40" t="s">
        <v>52</v>
      </c>
      <c r="M24" s="17">
        <f>AG23</f>
        <v>6444.6021428453441</v>
      </c>
      <c r="N24" s="52">
        <f t="shared" si="1"/>
        <v>64.446021428453449</v>
      </c>
      <c r="O24" s="19">
        <v>0.01</v>
      </c>
      <c r="P24" s="20">
        <v>1</v>
      </c>
      <c r="Q24" s="129">
        <v>0.92623999999999995</v>
      </c>
      <c r="R24" s="130">
        <v>0.92674999999999996</v>
      </c>
      <c r="S24" s="51">
        <f>IF(R24="","",IF(K24="Long",Q24-R24,R24-Q24))</f>
        <v>5.1000000000001044E-4</v>
      </c>
      <c r="T24" s="131">
        <f t="shared" si="8"/>
        <v>64.446021428453449</v>
      </c>
      <c r="U24" s="130">
        <v>0.92471000000000003</v>
      </c>
      <c r="V24" s="51">
        <f>IF(U24="","",IF(K24="Long",U24-Q24,Q24-U24))</f>
        <v>1.5299999999999203E-3</v>
      </c>
      <c r="W24" s="132">
        <f t="shared" si="3"/>
        <v>193.33806428534632</v>
      </c>
      <c r="X24" s="133">
        <f t="shared" si="5"/>
        <v>2.9999999999997824</v>
      </c>
      <c r="Y24" s="127" t="s">
        <v>139</v>
      </c>
      <c r="Z24" s="130">
        <v>0.92471000000000003</v>
      </c>
      <c r="AA24" s="25">
        <v>0</v>
      </c>
      <c r="AB24" s="25">
        <v>0</v>
      </c>
      <c r="AC24" s="25">
        <f>+W24</f>
        <v>193.33806428534632</v>
      </c>
      <c r="AD24" s="52">
        <f t="shared" si="6"/>
        <v>193.33806428534632</v>
      </c>
      <c r="AE24" s="51">
        <f>IF(Z24="","",IF(K24="Long",Z24-Q24,Q24-Z24))</f>
        <v>1.5299999999999203E-3</v>
      </c>
      <c r="AF24" s="134">
        <f>IF(AE24="","",AC24*O24/T24)</f>
        <v>2.9999999999997824E-2</v>
      </c>
      <c r="AG24" s="135">
        <f>M24+AC24</f>
        <v>6637.9402071306904</v>
      </c>
      <c r="AH24" s="2"/>
      <c r="AI24" s="2"/>
      <c r="AJ24" s="2"/>
      <c r="AK24" s="2"/>
      <c r="AL24" s="2"/>
      <c r="BC24" s="6" t="s">
        <v>150</v>
      </c>
      <c r="BD24" s="7" t="str">
        <f t="shared" si="7"/>
        <v>Minors</v>
      </c>
    </row>
    <row r="25" spans="1:60" ht="13.5">
      <c r="A25" s="1"/>
      <c r="B25" s="125" t="s">
        <v>60</v>
      </c>
      <c r="C25" s="126">
        <f t="shared" si="4"/>
        <v>20</v>
      </c>
      <c r="D25" s="11" t="s">
        <v>94</v>
      </c>
      <c r="E25" s="127" t="s">
        <v>139</v>
      </c>
      <c r="F25" s="13" t="s">
        <v>83</v>
      </c>
      <c r="G25" s="13"/>
      <c r="H25" s="29" t="s">
        <v>141</v>
      </c>
      <c r="I25" s="14" t="s">
        <v>64</v>
      </c>
      <c r="J25" s="15" t="s">
        <v>80</v>
      </c>
      <c r="K25" s="16" t="s">
        <v>81</v>
      </c>
      <c r="L25" s="136" t="s">
        <v>67</v>
      </c>
      <c r="M25" s="17">
        <f>AG24</f>
        <v>6637.9402071306904</v>
      </c>
      <c r="N25" s="52">
        <f t="shared" si="1"/>
        <v>66.379402071306899</v>
      </c>
      <c r="O25" s="19">
        <v>0.01</v>
      </c>
      <c r="P25" s="20">
        <v>0.01</v>
      </c>
      <c r="Q25" s="129">
        <v>161.744</v>
      </c>
      <c r="R25" s="130">
        <v>161.625</v>
      </c>
      <c r="S25" s="51">
        <f>IF(R25="","",IF(K25="Long",Q25-R25,R25-Q25))</f>
        <v>0.11899999999999977</v>
      </c>
      <c r="T25" s="131">
        <f t="shared" si="8"/>
        <v>66.379402071306899</v>
      </c>
      <c r="U25" s="130">
        <v>162.10599999999999</v>
      </c>
      <c r="V25" s="51">
        <f>IF(U25="","",IF(K25="Long",U25-Q25,Q25-U25))</f>
        <v>0.36199999999999477</v>
      </c>
      <c r="W25" s="132">
        <f t="shared" si="3"/>
        <v>201.92725672111592</v>
      </c>
      <c r="X25" s="133">
        <f t="shared" si="5"/>
        <v>3.0420168067226507</v>
      </c>
      <c r="Y25" s="127" t="s">
        <v>139</v>
      </c>
      <c r="Z25" s="130">
        <v>161.625</v>
      </c>
      <c r="AA25" s="25">
        <v>0</v>
      </c>
      <c r="AB25" s="25">
        <v>0</v>
      </c>
      <c r="AC25" s="25">
        <f>-T25</f>
        <v>-66.379402071306899</v>
      </c>
      <c r="AD25" s="52">
        <f t="shared" si="6"/>
        <v>-66.379402071306899</v>
      </c>
      <c r="AE25" s="51">
        <f>IF(Z25="","",IF(K25="Long",Z25-Q25,Q25-Z25))</f>
        <v>-0.11899999999999977</v>
      </c>
      <c r="AF25" s="134">
        <f>IF(AE25="","",AC25*O25/T25)</f>
        <v>-0.01</v>
      </c>
      <c r="AG25" s="135">
        <f>M25+AC25</f>
        <v>6571.5608050593837</v>
      </c>
      <c r="AH25" s="2"/>
      <c r="AI25" s="2"/>
      <c r="AJ25" s="2"/>
      <c r="AK25" s="2"/>
      <c r="AL25" s="2"/>
      <c r="BC25" s="6" t="s">
        <v>151</v>
      </c>
      <c r="BD25" s="7" t="str">
        <f t="shared" si="7"/>
        <v>Minors</v>
      </c>
    </row>
    <row r="26" spans="1:60" ht="13.5">
      <c r="A26" s="1"/>
      <c r="B26" s="125" t="s">
        <v>60</v>
      </c>
      <c r="C26" s="126">
        <f t="shared" si="4"/>
        <v>21</v>
      </c>
      <c r="D26" s="11" t="s">
        <v>102</v>
      </c>
      <c r="E26" s="127" t="s">
        <v>152</v>
      </c>
      <c r="F26" s="13" t="s">
        <v>49</v>
      </c>
      <c r="G26" s="13"/>
      <c r="H26" s="29" t="s">
        <v>93</v>
      </c>
      <c r="I26" s="14" t="s">
        <v>64</v>
      </c>
      <c r="J26" s="15" t="s">
        <v>80</v>
      </c>
      <c r="K26" s="16" t="s">
        <v>81</v>
      </c>
      <c r="L26" s="136" t="s">
        <v>67</v>
      </c>
      <c r="M26" s="17">
        <f>AG25</f>
        <v>6571.5608050593837</v>
      </c>
      <c r="N26" s="52">
        <f t="shared" si="1"/>
        <v>65.715608050593843</v>
      </c>
      <c r="O26" s="19">
        <v>0.01</v>
      </c>
      <c r="P26" s="20">
        <v>0.01</v>
      </c>
      <c r="Q26" s="129">
        <v>100.06399999999999</v>
      </c>
      <c r="R26" s="130">
        <v>100.005</v>
      </c>
      <c r="S26" s="51">
        <f>IF(R26="","",IF(K26="Long",Q26-R26,R26-Q26))</f>
        <v>5.8999999999997499E-2</v>
      </c>
      <c r="T26" s="131">
        <f t="shared" si="8"/>
        <v>65.715608050593843</v>
      </c>
      <c r="U26" s="130">
        <v>100.236</v>
      </c>
      <c r="V26" s="51">
        <f>IF(U26="","",IF(K26="Long",U26-Q26,Q26-U26))</f>
        <v>0.17200000000001125</v>
      </c>
      <c r="W26" s="132">
        <f t="shared" si="3"/>
        <v>191.57770482548065</v>
      </c>
      <c r="X26" s="133">
        <f t="shared" si="5"/>
        <v>2.9152542372884498</v>
      </c>
      <c r="Y26" s="127" t="s">
        <v>152</v>
      </c>
      <c r="Z26" s="130">
        <v>100.005</v>
      </c>
      <c r="AA26" s="25">
        <v>0</v>
      </c>
      <c r="AB26" s="25">
        <v>0</v>
      </c>
      <c r="AC26" s="25">
        <f>-T26</f>
        <v>-65.715608050593843</v>
      </c>
      <c r="AD26" s="52">
        <f t="shared" si="6"/>
        <v>-65.715608050593843</v>
      </c>
      <c r="AE26" s="51">
        <f>IF(Z26="","",IF(K26="Long",Z26-Q26,Q26-Z26))</f>
        <v>-5.8999999999997499E-2</v>
      </c>
      <c r="AF26" s="134">
        <f>IF(AE26="","",AC26*O26/T26)</f>
        <v>-0.01</v>
      </c>
      <c r="AG26" s="135">
        <f>M26+AC26</f>
        <v>6505.8451970087899</v>
      </c>
      <c r="AH26" s="2"/>
      <c r="AI26" s="2"/>
      <c r="AJ26" s="2"/>
      <c r="AK26" s="2"/>
      <c r="AL26" s="2"/>
      <c r="BC26" s="6" t="s">
        <v>153</v>
      </c>
      <c r="BD26" s="7" t="str">
        <f t="shared" si="7"/>
        <v>Minors</v>
      </c>
    </row>
    <row r="27" spans="1:60" ht="13.5">
      <c r="A27" s="1"/>
      <c r="B27" s="125" t="s">
        <v>60</v>
      </c>
      <c r="C27" s="126">
        <f t="shared" si="4"/>
        <v>22</v>
      </c>
      <c r="D27" s="11" t="s">
        <v>102</v>
      </c>
      <c r="E27" s="127" t="s">
        <v>152</v>
      </c>
      <c r="F27" s="13" t="s">
        <v>49</v>
      </c>
      <c r="G27" s="13"/>
      <c r="H27" s="29" t="s">
        <v>125</v>
      </c>
      <c r="I27" s="14" t="s">
        <v>64</v>
      </c>
      <c r="J27" s="15" t="s">
        <v>65</v>
      </c>
      <c r="K27" s="16" t="s">
        <v>81</v>
      </c>
      <c r="L27" s="136" t="s">
        <v>67</v>
      </c>
      <c r="M27" s="17">
        <f>AG26</f>
        <v>6505.8451970087899</v>
      </c>
      <c r="N27" s="52">
        <f t="shared" si="1"/>
        <v>65.058451970087901</v>
      </c>
      <c r="O27" s="19">
        <v>0.01</v>
      </c>
      <c r="P27" s="20">
        <v>0.11</v>
      </c>
      <c r="Q27" s="129">
        <v>92.600999999999999</v>
      </c>
      <c r="R27" s="130">
        <v>92.481999999999999</v>
      </c>
      <c r="S27" s="51">
        <f>IF(R27="","",IF(K27="Long",Q27-R27,R27-Q27))</f>
        <v>0.11899999999999977</v>
      </c>
      <c r="T27" s="131">
        <f t="shared" si="8"/>
        <v>65.058451970087901</v>
      </c>
      <c r="U27" s="130">
        <v>92.959000000000003</v>
      </c>
      <c r="V27" s="51">
        <f>IF(U27="","",IF(K27="Long",U27-Q27,Q27-U27))</f>
        <v>0.35800000000000409</v>
      </c>
      <c r="W27" s="132">
        <f t="shared" si="3"/>
        <v>195.72206559068721</v>
      </c>
      <c r="X27" s="133">
        <f t="shared" si="5"/>
        <v>3.0084033613445778</v>
      </c>
      <c r="Y27" s="127" t="s">
        <v>152</v>
      </c>
      <c r="Z27" s="130">
        <v>92.481999999999999</v>
      </c>
      <c r="AA27" s="25">
        <v>0</v>
      </c>
      <c r="AB27" s="25">
        <v>0</v>
      </c>
      <c r="AC27" s="25">
        <f>-T27</f>
        <v>-65.058451970087901</v>
      </c>
      <c r="AD27" s="52">
        <f t="shared" si="6"/>
        <v>-65.058451970087901</v>
      </c>
      <c r="AE27" s="51">
        <f>IF(Z27="","",IF(K27="Long",Z27-Q27,Q27-Z27))</f>
        <v>-0.11899999999999977</v>
      </c>
      <c r="AF27" s="134">
        <f>IF(AE27="","",AC27*O27/T27)</f>
        <v>-0.01</v>
      </c>
      <c r="AG27" s="135">
        <f>M27+AC27</f>
        <v>6440.7867450387021</v>
      </c>
      <c r="AH27" s="2"/>
      <c r="AI27" s="2"/>
      <c r="AJ27" s="2"/>
      <c r="AK27" s="2"/>
      <c r="AL27" s="2"/>
      <c r="BC27" s="6" t="s">
        <v>90</v>
      </c>
      <c r="BD27" s="7" t="str">
        <f t="shared" si="7"/>
        <v>Minors</v>
      </c>
    </row>
    <row r="28" spans="1:60">
      <c r="A28" s="1"/>
      <c r="B28" s="125" t="s">
        <v>60</v>
      </c>
      <c r="C28" s="126">
        <f t="shared" si="4"/>
        <v>23</v>
      </c>
      <c r="D28" s="11" t="s">
        <v>102</v>
      </c>
      <c r="E28" s="12" t="s">
        <v>154</v>
      </c>
      <c r="F28" s="13" t="s">
        <v>49</v>
      </c>
      <c r="G28" s="13"/>
      <c r="H28" s="29" t="s">
        <v>155</v>
      </c>
      <c r="I28" s="14" t="s">
        <v>64</v>
      </c>
      <c r="J28" s="15" t="s">
        <v>65</v>
      </c>
      <c r="K28" s="16" t="s">
        <v>81</v>
      </c>
      <c r="L28" s="136" t="s">
        <v>67</v>
      </c>
      <c r="M28" s="17">
        <f>AG27</f>
        <v>6440.7867450387021</v>
      </c>
      <c r="N28" s="52">
        <f t="shared" si="1"/>
        <v>64.407867450387016</v>
      </c>
      <c r="O28" s="19">
        <v>0.01</v>
      </c>
      <c r="P28" s="20">
        <v>0.05</v>
      </c>
      <c r="Q28" s="137">
        <v>0.62868999999999997</v>
      </c>
      <c r="R28" s="138">
        <v>0.62816000000000005</v>
      </c>
      <c r="S28" s="51">
        <f>IF(R28="","",IF(K28="Long",Q28-R28,R28-Q28))</f>
        <v>5.2999999999991942E-4</v>
      </c>
      <c r="T28" s="131">
        <f t="shared" si="8"/>
        <v>64.407867450387016</v>
      </c>
      <c r="U28" s="139">
        <v>0.63022999999999996</v>
      </c>
      <c r="V28" s="51">
        <f>IF(U28="","",IF(K28="Long",U28-Q28,Q28-U28))</f>
        <v>1.5399999999999858E-3</v>
      </c>
      <c r="W28" s="132">
        <f t="shared" si="3"/>
        <v>187.14738844077391</v>
      </c>
      <c r="X28" s="133">
        <f t="shared" si="5"/>
        <v>2.9056603773589056</v>
      </c>
      <c r="Y28" s="12" t="s">
        <v>154</v>
      </c>
      <c r="Z28" s="138">
        <v>0.62816000000000005</v>
      </c>
      <c r="AA28" s="25">
        <v>0</v>
      </c>
      <c r="AB28" s="25">
        <v>0</v>
      </c>
      <c r="AC28" s="25">
        <f>-T28</f>
        <v>-64.407867450387016</v>
      </c>
      <c r="AD28" s="52">
        <f t="shared" si="6"/>
        <v>-64.407867450387016</v>
      </c>
      <c r="AE28" s="51">
        <f>IF(Z28="","",IF(K28="Long",Z28-Q28,Q28-Z28))</f>
        <v>-5.2999999999991942E-4</v>
      </c>
      <c r="AF28" s="134">
        <f>IF(AE28="","",AC28*O28/T28)</f>
        <v>-0.01</v>
      </c>
      <c r="AG28" s="135">
        <f>M28+AC28</f>
        <v>6376.3788775883149</v>
      </c>
      <c r="AH28" s="2"/>
      <c r="AI28" s="2"/>
      <c r="AJ28" s="2"/>
      <c r="AK28" s="2"/>
      <c r="AL28" s="2"/>
      <c r="BC28" s="6" t="s">
        <v>141</v>
      </c>
      <c r="BD28" s="7" t="str">
        <f t="shared" si="7"/>
        <v>Minors</v>
      </c>
    </row>
    <row r="29" spans="1:60">
      <c r="A29" s="1"/>
      <c r="B29" s="125" t="s">
        <v>100</v>
      </c>
      <c r="C29" s="140">
        <v>24</v>
      </c>
      <c r="D29" s="11" t="s">
        <v>69</v>
      </c>
      <c r="E29" s="12" t="s">
        <v>156</v>
      </c>
      <c r="F29" s="13" t="s">
        <v>62</v>
      </c>
      <c r="G29" s="13" t="s">
        <v>56</v>
      </c>
      <c r="H29" s="29" t="s">
        <v>117</v>
      </c>
      <c r="I29" s="14" t="s">
        <v>64</v>
      </c>
      <c r="J29" s="15" t="s">
        <v>80</v>
      </c>
      <c r="K29" s="16" t="s">
        <v>81</v>
      </c>
      <c r="L29" s="40" t="s">
        <v>52</v>
      </c>
      <c r="M29" s="17">
        <f>AG28</f>
        <v>6376.3788775883149</v>
      </c>
      <c r="N29" s="52">
        <f t="shared" si="1"/>
        <v>63.76378877588315</v>
      </c>
      <c r="O29" s="19">
        <v>0.01</v>
      </c>
      <c r="P29" s="20">
        <v>0.01</v>
      </c>
      <c r="Q29" s="26">
        <v>133.21100000000001</v>
      </c>
      <c r="R29" s="28">
        <v>133.107</v>
      </c>
      <c r="S29" s="51">
        <f>IF(R29="","",IF(K29="Long",Q29-R29,R29-Q29))</f>
        <v>0.10400000000001342</v>
      </c>
      <c r="T29" s="131">
        <f t="shared" si="8"/>
        <v>63.76378877588315</v>
      </c>
      <c r="U29" s="27">
        <v>133.523</v>
      </c>
      <c r="V29" s="51">
        <f>IF(U29="","",IF(K29="Long",U29-Q29,Q29-U29))</f>
        <v>0.3119999999999834</v>
      </c>
      <c r="W29" s="132">
        <f t="shared" si="3"/>
        <v>191.29136632761458</v>
      </c>
      <c r="X29" s="133">
        <f t="shared" si="5"/>
        <v>2.9999999999994533</v>
      </c>
      <c r="Y29" s="12" t="s">
        <v>156</v>
      </c>
      <c r="Z29" s="27">
        <v>133.523</v>
      </c>
      <c r="AA29" s="25">
        <v>0</v>
      </c>
      <c r="AB29" s="25">
        <v>0</v>
      </c>
      <c r="AC29" s="25">
        <f>+W29</f>
        <v>191.29136632761458</v>
      </c>
      <c r="AD29" s="52">
        <f t="shared" si="6"/>
        <v>191.29136632761458</v>
      </c>
      <c r="AE29" s="51">
        <f>IF(Z29="","",IF(K29="Long",Z29-Q29,Q29-Z29))</f>
        <v>0.3119999999999834</v>
      </c>
      <c r="AF29" s="134">
        <f>IF(AE29="","",AC29*O29/T29)</f>
        <v>2.9999999999994531E-2</v>
      </c>
      <c r="AG29" s="135">
        <f>M29+AC29</f>
        <v>6567.6702439159299</v>
      </c>
      <c r="AH29" s="2"/>
      <c r="AI29" s="2"/>
      <c r="AJ29" s="2"/>
      <c r="AK29" s="2"/>
      <c r="AL29" s="2"/>
      <c r="BC29" s="6" t="s">
        <v>157</v>
      </c>
      <c r="BD29" s="7" t="str">
        <f t="shared" si="7"/>
        <v>Minors</v>
      </c>
    </row>
    <row r="30" spans="1:60">
      <c r="A30" s="1"/>
      <c r="B30" s="125" t="s">
        <v>100</v>
      </c>
      <c r="C30" s="140">
        <v>25</v>
      </c>
      <c r="D30" s="11" t="s">
        <v>82</v>
      </c>
      <c r="E30" s="12" t="s">
        <v>158</v>
      </c>
      <c r="F30" s="13" t="s">
        <v>62</v>
      </c>
      <c r="G30" s="13" t="s">
        <v>56</v>
      </c>
      <c r="H30" s="29" t="s">
        <v>59</v>
      </c>
      <c r="I30" s="14" t="s">
        <v>64</v>
      </c>
      <c r="J30" s="15" t="s">
        <v>65</v>
      </c>
      <c r="K30" s="16" t="s">
        <v>81</v>
      </c>
      <c r="L30" s="136" t="s">
        <v>67</v>
      </c>
      <c r="M30" s="17">
        <f>AG29</f>
        <v>6567.6702439159299</v>
      </c>
      <c r="N30" s="52">
        <f t="shared" si="1"/>
        <v>65.6767024391593</v>
      </c>
      <c r="O30" s="19">
        <v>0.01</v>
      </c>
      <c r="P30" s="20">
        <v>0.01</v>
      </c>
      <c r="Q30" s="26">
        <v>1.09274</v>
      </c>
      <c r="R30" s="28">
        <v>1.0920099999999999</v>
      </c>
      <c r="S30" s="51">
        <f>IF(R30="","",IF(K30="Long",Q30-R30,R30-Q30))</f>
        <v>7.3000000000011944E-4</v>
      </c>
      <c r="T30" s="131">
        <f t="shared" si="8"/>
        <v>65.6767024391593</v>
      </c>
      <c r="U30" s="27">
        <v>1.09493</v>
      </c>
      <c r="V30" s="51">
        <f>IF(U30="","",IF(K30="Long",U30-Q30,Q30-U30))</f>
        <v>2.1899999999999142E-3</v>
      </c>
      <c r="W30" s="132">
        <f t="shared" si="3"/>
        <v>197.03010731743794</v>
      </c>
      <c r="X30" s="133">
        <f t="shared" si="5"/>
        <v>2.9999999999993916</v>
      </c>
      <c r="Y30" s="12" t="s">
        <v>158</v>
      </c>
      <c r="Z30" s="28">
        <v>1.0920099999999999</v>
      </c>
      <c r="AA30" s="25">
        <v>0</v>
      </c>
      <c r="AB30" s="25">
        <v>0</v>
      </c>
      <c r="AC30" s="25">
        <f>-T30</f>
        <v>-65.6767024391593</v>
      </c>
      <c r="AD30" s="52">
        <f t="shared" si="6"/>
        <v>-65.6767024391593</v>
      </c>
      <c r="AE30" s="51">
        <f>IF(Z30="","",IF(K30="Long",Z30-Q30,Q30-Z30))</f>
        <v>-7.3000000000011944E-4</v>
      </c>
      <c r="AF30" s="134">
        <f>IF(AE30="","",AC30*O30/T30)</f>
        <v>-0.01</v>
      </c>
      <c r="AG30" s="135">
        <f>M30+AC30</f>
        <v>6501.9935414767706</v>
      </c>
      <c r="AH30" s="2"/>
      <c r="AI30" s="2"/>
      <c r="AJ30" s="2"/>
      <c r="AK30" s="2"/>
      <c r="AL30" s="2"/>
      <c r="BC30" s="6" t="s">
        <v>159</v>
      </c>
      <c r="BD30" s="7" t="str">
        <f t="shared" si="7"/>
        <v>Minors</v>
      </c>
    </row>
    <row r="31" spans="1:60">
      <c r="A31" s="1"/>
      <c r="B31" s="125" t="s">
        <v>100</v>
      </c>
      <c r="C31" s="140">
        <v>26</v>
      </c>
      <c r="D31" s="11" t="s">
        <v>82</v>
      </c>
      <c r="E31" s="12" t="s">
        <v>158</v>
      </c>
      <c r="F31" s="13" t="s">
        <v>62</v>
      </c>
      <c r="G31" s="13" t="s">
        <v>56</v>
      </c>
      <c r="H31" s="29" t="s">
        <v>79</v>
      </c>
      <c r="I31" s="14" t="s">
        <v>64</v>
      </c>
      <c r="J31" s="15" t="s">
        <v>80</v>
      </c>
      <c r="K31" s="16" t="s">
        <v>81</v>
      </c>
      <c r="L31" s="40" t="s">
        <v>52</v>
      </c>
      <c r="M31" s="17">
        <f>AG30</f>
        <v>6501.9935414767706</v>
      </c>
      <c r="N31" s="52">
        <f t="shared" si="1"/>
        <v>65.019935414767701</v>
      </c>
      <c r="O31" s="19">
        <v>0.01</v>
      </c>
      <c r="P31" s="20">
        <v>0.01</v>
      </c>
      <c r="Q31" s="26">
        <v>1.24715</v>
      </c>
      <c r="R31" s="28">
        <v>1.2461599999999999</v>
      </c>
      <c r="S31" s="51">
        <f>IF(R31="","",IF(K31="Long",Q31-R31,R31-Q31))</f>
        <v>9.900000000000464E-4</v>
      </c>
      <c r="T31" s="131">
        <f t="shared" si="8"/>
        <v>65.019935414767701</v>
      </c>
      <c r="U31" s="27">
        <v>1.2501199999999999</v>
      </c>
      <c r="V31" s="51">
        <f>IF(U31="","",IF(K31="Long",U31-Q31,Q31-U31))</f>
        <v>2.9699999999999172E-3</v>
      </c>
      <c r="W31" s="132">
        <f t="shared" si="3"/>
        <v>195.05980624428852</v>
      </c>
      <c r="X31" s="133">
        <f t="shared" si="5"/>
        <v>2.9999999999997757</v>
      </c>
      <c r="Y31" s="12" t="s">
        <v>158</v>
      </c>
      <c r="Z31" s="27">
        <v>1.2501199999999999</v>
      </c>
      <c r="AA31" s="25">
        <v>0</v>
      </c>
      <c r="AB31" s="25">
        <v>0</v>
      </c>
      <c r="AC31" s="25">
        <f>+W31</f>
        <v>195.05980624428852</v>
      </c>
      <c r="AD31" s="52">
        <f t="shared" si="6"/>
        <v>195.05980624428852</v>
      </c>
      <c r="AE31" s="51">
        <f>IF(Z31="","",IF(K31="Long",Z31-Q31,Q31-Z31))</f>
        <v>2.9699999999999172E-3</v>
      </c>
      <c r="AF31" s="134">
        <f>IF(AE31="","",AC31*O31/T31)</f>
        <v>2.9999999999997761E-2</v>
      </c>
      <c r="AG31" s="135">
        <f>M31+AC31</f>
        <v>6697.0533477210593</v>
      </c>
      <c r="AH31" s="2"/>
      <c r="AI31" s="2"/>
      <c r="AJ31" s="2"/>
      <c r="AK31" s="2"/>
      <c r="AL31" s="2"/>
      <c r="BC31" s="6" t="s">
        <v>160</v>
      </c>
      <c r="BD31" s="7" t="str">
        <f t="shared" si="7"/>
        <v>Minors</v>
      </c>
    </row>
    <row r="32" spans="1:60">
      <c r="A32" s="1"/>
      <c r="B32" s="125" t="s">
        <v>100</v>
      </c>
      <c r="C32" s="140">
        <v>27</v>
      </c>
      <c r="D32" s="11" t="s">
        <v>94</v>
      </c>
      <c r="E32" s="12" t="s">
        <v>161</v>
      </c>
      <c r="F32" s="13" t="s">
        <v>49</v>
      </c>
      <c r="G32" s="13" t="s">
        <v>56</v>
      </c>
      <c r="H32" s="29" t="s">
        <v>79</v>
      </c>
      <c r="I32" s="14" t="s">
        <v>64</v>
      </c>
      <c r="J32" s="15" t="s">
        <v>80</v>
      </c>
      <c r="K32" s="16" t="s">
        <v>81</v>
      </c>
      <c r="L32" s="40" t="s">
        <v>52</v>
      </c>
      <c r="M32" s="17">
        <f>AG31</f>
        <v>6697.0533477210593</v>
      </c>
      <c r="N32" s="52">
        <f t="shared" si="1"/>
        <v>66.970533477210594</v>
      </c>
      <c r="O32" s="19">
        <v>0.01</v>
      </c>
      <c r="P32" s="20">
        <v>0.09</v>
      </c>
      <c r="Q32" s="26">
        <v>1.25031</v>
      </c>
      <c r="R32" s="28">
        <v>1.24949</v>
      </c>
      <c r="S32" s="51">
        <f>IF(R32="","",IF(K32="Long",Q32-R32,R32-Q32))</f>
        <v>8.2000000000004292E-4</v>
      </c>
      <c r="T32" s="131">
        <f t="shared" si="8"/>
        <v>66.970533477210594</v>
      </c>
      <c r="U32" s="27">
        <v>1.2527699999999999</v>
      </c>
      <c r="V32" s="51">
        <f>IF(U32="","",IF(K32="Long",U32-Q32,Q32-U32))</f>
        <v>2.4599999999999067E-3</v>
      </c>
      <c r="W32" s="132">
        <f>IF(X32="","",X32*T32/1)</f>
        <v>200.91160043161364</v>
      </c>
      <c r="X32" s="133">
        <f>IF(V32="","",V32*1/S32)</f>
        <v>2.9999999999997291</v>
      </c>
      <c r="Y32" s="12" t="s">
        <v>161</v>
      </c>
      <c r="Z32" s="27">
        <v>1.2527699999999999</v>
      </c>
      <c r="AA32" s="25">
        <v>0</v>
      </c>
      <c r="AB32" s="25">
        <v>0</v>
      </c>
      <c r="AC32" s="25">
        <f>+W32</f>
        <v>200.91160043161364</v>
      </c>
      <c r="AD32" s="52">
        <f t="shared" si="6"/>
        <v>200.91160043161364</v>
      </c>
      <c r="AE32" s="51">
        <f>IF(Z32="","",IF(K32="Long",Z32-Q32,Q32-Z32))</f>
        <v>2.4599999999999067E-3</v>
      </c>
      <c r="AF32" s="134">
        <f>IF(AE32="","",AC32*O32/T32)</f>
        <v>2.9999999999997293E-2</v>
      </c>
      <c r="AG32" s="135">
        <f>M32+AC32</f>
        <v>6897.9649481526731</v>
      </c>
      <c r="AH32" s="2"/>
      <c r="AI32" s="2"/>
      <c r="AJ32" s="2"/>
      <c r="AK32" s="2"/>
      <c r="AL32" s="2"/>
      <c r="BC32" s="6" t="s">
        <v>162</v>
      </c>
      <c r="BD32" s="7" t="str">
        <f t="shared" si="7"/>
        <v>Minors</v>
      </c>
    </row>
    <row r="33" spans="1:56">
      <c r="A33" s="1"/>
      <c r="B33" s="125" t="s">
        <v>100</v>
      </c>
      <c r="C33" s="140">
        <v>28</v>
      </c>
      <c r="D33" s="11" t="s">
        <v>69</v>
      </c>
      <c r="E33" s="12" t="s">
        <v>163</v>
      </c>
      <c r="F33" s="13" t="s">
        <v>49</v>
      </c>
      <c r="G33" s="13" t="s">
        <v>56</v>
      </c>
      <c r="H33" s="29" t="s">
        <v>79</v>
      </c>
      <c r="I33" s="14" t="s">
        <v>64</v>
      </c>
      <c r="J33" s="15" t="s">
        <v>134</v>
      </c>
      <c r="K33" s="16" t="s">
        <v>81</v>
      </c>
      <c r="L33" s="136" t="s">
        <v>67</v>
      </c>
      <c r="M33" s="17">
        <f>AG32</f>
        <v>6897.9649481526731</v>
      </c>
      <c r="N33" s="52">
        <f t="shared" si="1"/>
        <v>68.979649481526735</v>
      </c>
      <c r="O33" s="19">
        <v>0.01</v>
      </c>
      <c r="P33" s="20">
        <v>0.01</v>
      </c>
      <c r="Q33" s="26">
        <v>1.24214</v>
      </c>
      <c r="R33" s="28">
        <v>1.2416100000000001</v>
      </c>
      <c r="S33" s="51">
        <f>IF(R33="","",IF(K33="Long",Q33-R33,R33-Q33))</f>
        <v>5.2999999999991942E-4</v>
      </c>
      <c r="T33" s="131">
        <f t="shared" si="8"/>
        <v>68.979649481526735</v>
      </c>
      <c r="U33" s="27">
        <v>1.24373</v>
      </c>
      <c r="V33" s="51">
        <f>IF(U33="","",IF(K33="Long",U33-Q33,Q33-U33))</f>
        <v>1.5899999999999803E-3</v>
      </c>
      <c r="W33" s="132">
        <f t="shared" si="3"/>
        <v>206.93894844460908</v>
      </c>
      <c r="X33" s="133">
        <f t="shared" si="5"/>
        <v>3.0000000000004188</v>
      </c>
      <c r="Y33" s="12" t="s">
        <v>163</v>
      </c>
      <c r="Z33" s="28">
        <v>1.2416100000000001</v>
      </c>
      <c r="AA33" s="25">
        <v>0</v>
      </c>
      <c r="AB33" s="25">
        <v>0</v>
      </c>
      <c r="AC33" s="25">
        <f>-T33</f>
        <v>-68.979649481526735</v>
      </c>
      <c r="AD33" s="52">
        <f t="shared" si="6"/>
        <v>-68.979649481526735</v>
      </c>
      <c r="AE33" s="51">
        <f>IF(Z33="","",IF(K33="Long",Z33-Q33,Q33-Z33))</f>
        <v>-5.2999999999991942E-4</v>
      </c>
      <c r="AF33" s="134">
        <f>IF(AE33="","",AC33*O33/T33)</f>
        <v>-0.01</v>
      </c>
      <c r="AG33" s="135">
        <f>M33+AC33</f>
        <v>6828.9852986711467</v>
      </c>
      <c r="AH33" s="2"/>
      <c r="AI33" s="2"/>
      <c r="AJ33" s="2"/>
      <c r="AK33" s="2"/>
      <c r="AL33" s="2"/>
      <c r="BC33" s="6" t="s">
        <v>155</v>
      </c>
      <c r="BD33" s="7" t="str">
        <f t="shared" si="7"/>
        <v>Minors</v>
      </c>
    </row>
    <row r="34" spans="1:56">
      <c r="A34" s="1"/>
      <c r="B34" s="125" t="s">
        <v>60</v>
      </c>
      <c r="C34" s="140">
        <v>29</v>
      </c>
      <c r="D34" s="11" t="s">
        <v>102</v>
      </c>
      <c r="E34" s="12" t="s">
        <v>164</v>
      </c>
      <c r="F34" s="13" t="s">
        <v>83</v>
      </c>
      <c r="G34" s="13" t="s">
        <v>56</v>
      </c>
      <c r="H34" s="29" t="s">
        <v>76</v>
      </c>
      <c r="I34" s="14" t="s">
        <v>64</v>
      </c>
      <c r="J34" s="15" t="s">
        <v>134</v>
      </c>
      <c r="K34" s="16" t="s">
        <v>66</v>
      </c>
      <c r="L34" s="40" t="s">
        <v>52</v>
      </c>
      <c r="M34" s="17">
        <f>AG33</f>
        <v>6828.9852986711467</v>
      </c>
      <c r="N34" s="52">
        <f t="shared" si="1"/>
        <v>68.289852986711466</v>
      </c>
      <c r="O34" s="19">
        <v>0.01</v>
      </c>
      <c r="P34" s="20">
        <v>0.02</v>
      </c>
      <c r="Q34" s="26">
        <v>0.66088999999999998</v>
      </c>
      <c r="R34" s="28">
        <v>0.66134999999999999</v>
      </c>
      <c r="S34" s="51">
        <f>IF(R34="","",IF(K34="Long",Q34-R34,R34-Q34))</f>
        <v>4.6000000000001595E-4</v>
      </c>
      <c r="T34" s="131">
        <f t="shared" si="8"/>
        <v>68.289852986711466</v>
      </c>
      <c r="U34" s="27">
        <v>0.65951000000000004</v>
      </c>
      <c r="V34" s="51">
        <f>IF(U34="","",IF(K34="Long",U34-Q34,Q34-U34))</f>
        <v>1.3799999999999368E-3</v>
      </c>
      <c r="W34" s="132">
        <f t="shared" si="3"/>
        <v>204.86955896011793</v>
      </c>
      <c r="X34" s="133">
        <f t="shared" si="5"/>
        <v>2.9999999999997589</v>
      </c>
      <c r="Y34" s="12" t="s">
        <v>164</v>
      </c>
      <c r="Z34" s="27">
        <v>0.65951000000000004</v>
      </c>
      <c r="AA34" s="25">
        <v>0</v>
      </c>
      <c r="AB34" s="25">
        <v>0</v>
      </c>
      <c r="AC34" s="25">
        <f>+W34</f>
        <v>204.86955896011793</v>
      </c>
      <c r="AD34" s="52">
        <f t="shared" si="6"/>
        <v>204.86955896011793</v>
      </c>
      <c r="AE34" s="51">
        <f>IF(Z34="","",IF(K34="Long",Z34-Q34,Q34-Z34))</f>
        <v>1.3799999999999368E-3</v>
      </c>
      <c r="AF34" s="134">
        <f>IF(AE34="","",AC34*O34/T34)</f>
        <v>2.9999999999997591E-2</v>
      </c>
      <c r="AG34" s="135">
        <f>M34+AC34</f>
        <v>7033.8548576312642</v>
      </c>
      <c r="AH34" s="2"/>
      <c r="AI34" s="2"/>
      <c r="AJ34" s="2"/>
      <c r="AK34" s="2"/>
      <c r="AL34" s="2"/>
      <c r="BC34" s="6" t="s">
        <v>131</v>
      </c>
      <c r="BD34" s="7" t="str">
        <f t="shared" si="7"/>
        <v>Minors</v>
      </c>
    </row>
    <row r="35" spans="1:56">
      <c r="A35" s="1"/>
      <c r="B35" s="125" t="s">
        <v>100</v>
      </c>
      <c r="C35" s="140">
        <v>30</v>
      </c>
      <c r="D35" s="11" t="s">
        <v>82</v>
      </c>
      <c r="E35" s="12" t="s">
        <v>165</v>
      </c>
      <c r="F35" s="13" t="s">
        <v>49</v>
      </c>
      <c r="G35" s="13" t="s">
        <v>56</v>
      </c>
      <c r="H35" s="29" t="s">
        <v>106</v>
      </c>
      <c r="I35" s="14" t="s">
        <v>64</v>
      </c>
      <c r="J35" s="15" t="s">
        <v>80</v>
      </c>
      <c r="K35" s="16" t="s">
        <v>81</v>
      </c>
      <c r="L35" s="136" t="s">
        <v>67</v>
      </c>
      <c r="M35" s="17">
        <f>AG34</f>
        <v>7033.8548576312642</v>
      </c>
      <c r="N35" s="52">
        <f t="shared" si="1"/>
        <v>70.338548576312647</v>
      </c>
      <c r="O35" s="19">
        <v>0.01</v>
      </c>
      <c r="P35" s="20">
        <v>7.0000000000000007E-2</v>
      </c>
      <c r="Q35" s="26">
        <v>1.36226</v>
      </c>
      <c r="R35" s="28">
        <v>1.3619000000000001</v>
      </c>
      <c r="S35" s="51">
        <f>IF(R35="","",IF(K35="Long",Q35-R35,R35-Q35))</f>
        <v>3.5999999999991594E-4</v>
      </c>
      <c r="T35" s="131">
        <f t="shared" si="8"/>
        <v>70.338548576312647</v>
      </c>
      <c r="U35" s="27">
        <v>1.36334</v>
      </c>
      <c r="V35" s="51">
        <f>IF(U35="","",IF(K35="Long",U35-Q35,Q35-U35))</f>
        <v>1.0799999999999699E-3</v>
      </c>
      <c r="W35" s="132">
        <f t="shared" si="3"/>
        <v>211.01564572898133</v>
      </c>
      <c r="X35" s="133">
        <f t="shared" si="5"/>
        <v>3.0000000000006168</v>
      </c>
      <c r="Y35" s="12" t="s">
        <v>165</v>
      </c>
      <c r="Z35" s="28">
        <v>1.3619000000000001</v>
      </c>
      <c r="AA35" s="25">
        <v>0</v>
      </c>
      <c r="AB35" s="25">
        <v>0</v>
      </c>
      <c r="AC35" s="25">
        <f>-T35</f>
        <v>-70.338548576312647</v>
      </c>
      <c r="AD35" s="52">
        <f t="shared" si="6"/>
        <v>-70.338548576312647</v>
      </c>
      <c r="AE35" s="51">
        <f>IF(Z35="","",IF(K35="Long",Z35-Q35,Q35-Z35))</f>
        <v>-3.5999999999991594E-4</v>
      </c>
      <c r="AF35" s="134">
        <f>IF(AE35="","",AC35*O35/T35)</f>
        <v>-0.01</v>
      </c>
      <c r="AG35" s="135">
        <f>M35+AC35</f>
        <v>6963.5163090549513</v>
      </c>
      <c r="AH35" s="2"/>
      <c r="AI35" s="2"/>
      <c r="AJ35" s="2"/>
      <c r="AK35" s="2"/>
      <c r="AL35" s="2"/>
      <c r="BC35" s="30" t="s">
        <v>166</v>
      </c>
      <c r="BD35" s="7" t="str">
        <f t="shared" ref="BD35:BD65" si="9">$AV$7</f>
        <v>Exotics</v>
      </c>
    </row>
    <row r="36" spans="1:56">
      <c r="A36" s="1"/>
      <c r="B36" s="125" t="s">
        <v>100</v>
      </c>
      <c r="C36" s="140">
        <v>31</v>
      </c>
      <c r="D36" s="11" t="s">
        <v>82</v>
      </c>
      <c r="E36" s="12" t="s">
        <v>167</v>
      </c>
      <c r="F36" s="13" t="s">
        <v>62</v>
      </c>
      <c r="G36" s="13" t="s">
        <v>56</v>
      </c>
      <c r="H36" s="29" t="s">
        <v>153</v>
      </c>
      <c r="I36" s="14" t="s">
        <v>64</v>
      </c>
      <c r="J36" s="15" t="s">
        <v>134</v>
      </c>
      <c r="K36" s="16" t="s">
        <v>81</v>
      </c>
      <c r="L36" s="136" t="s">
        <v>67</v>
      </c>
      <c r="M36" s="17">
        <f>AG35</f>
        <v>6963.5163090549513</v>
      </c>
      <c r="N36" s="52">
        <f t="shared" si="1"/>
        <v>69.635163090549511</v>
      </c>
      <c r="O36" s="19">
        <v>0.01</v>
      </c>
      <c r="P36" s="20">
        <v>0.01</v>
      </c>
      <c r="Q36" s="26">
        <v>1.7085300000000001</v>
      </c>
      <c r="R36" s="28">
        <v>1.7080200000000001</v>
      </c>
      <c r="S36" s="51">
        <f>IF(R36="","",IF(K36="Long",Q36-R36,R36-Q36))</f>
        <v>5.1000000000001044E-4</v>
      </c>
      <c r="T36" s="131">
        <f t="shared" si="8"/>
        <v>69.635163090549511</v>
      </c>
      <c r="U36" s="27">
        <v>1.7100599999999999</v>
      </c>
      <c r="V36" s="51">
        <f>IF(U36="","",IF(K36="Long",U36-Q36,Q36-U36))</f>
        <v>1.5299999999998093E-3</v>
      </c>
      <c r="W36" s="132">
        <f t="shared" si="3"/>
        <v>208.90548927161822</v>
      </c>
      <c r="X36" s="133">
        <f t="shared" si="5"/>
        <v>2.9999999999995648</v>
      </c>
      <c r="Y36" s="12" t="s">
        <v>167</v>
      </c>
      <c r="Z36" s="28">
        <v>1.7080200000000001</v>
      </c>
      <c r="AA36" s="25">
        <v>0</v>
      </c>
      <c r="AB36" s="25">
        <v>0</v>
      </c>
      <c r="AC36" s="25">
        <f>-T36</f>
        <v>-69.635163090549511</v>
      </c>
      <c r="AD36" s="52">
        <f t="shared" si="6"/>
        <v>-69.635163090549511</v>
      </c>
      <c r="AE36" s="51">
        <f>IF(Z36="","",IF(K36="Long",Z36-Q36,Q36-Z36))</f>
        <v>-5.1000000000001044E-4</v>
      </c>
      <c r="AF36" s="134">
        <f>IF(AE36="","",AC36*O36/T36)</f>
        <v>-0.01</v>
      </c>
      <c r="AG36" s="135">
        <f>M36+AC36</f>
        <v>6893.8811459644021</v>
      </c>
      <c r="AH36" s="2"/>
      <c r="AI36" s="2"/>
      <c r="AJ36" s="2"/>
      <c r="AK36" s="2"/>
      <c r="AL36" s="2"/>
      <c r="BC36" s="30" t="s">
        <v>168</v>
      </c>
      <c r="BD36" s="7" t="str">
        <f t="shared" si="9"/>
        <v>Exotics</v>
      </c>
    </row>
    <row r="37" spans="1:56">
      <c r="A37" s="1"/>
      <c r="B37" s="125" t="s">
        <v>100</v>
      </c>
      <c r="C37" s="140">
        <v>32</v>
      </c>
      <c r="D37" s="11" t="s">
        <v>94</v>
      </c>
      <c r="E37" s="12" t="s">
        <v>169</v>
      </c>
      <c r="F37" s="13" t="s">
        <v>49</v>
      </c>
      <c r="G37" s="13" t="s">
        <v>56</v>
      </c>
      <c r="H37" s="29" t="s">
        <v>59</v>
      </c>
      <c r="I37" s="14" t="s">
        <v>64</v>
      </c>
      <c r="J37" s="15" t="s">
        <v>134</v>
      </c>
      <c r="K37" s="16" t="s">
        <v>66</v>
      </c>
      <c r="L37" s="40" t="s">
        <v>52</v>
      </c>
      <c r="M37" s="17">
        <f>AG36</f>
        <v>6893.8811459644021</v>
      </c>
      <c r="N37" s="52">
        <f t="shared" si="1"/>
        <v>68.938811459644029</v>
      </c>
      <c r="O37" s="19">
        <v>0.01</v>
      </c>
      <c r="P37" s="20">
        <v>0.04</v>
      </c>
      <c r="Q37" s="26">
        <v>1.1053599999999999</v>
      </c>
      <c r="R37" s="28">
        <v>1.1058399999999999</v>
      </c>
      <c r="S37" s="51">
        <f>IF(R37="","",IF(K37="Long",Q37-R37,R37-Q37))</f>
        <v>4.8000000000003595E-4</v>
      </c>
      <c r="T37" s="131">
        <f t="shared" si="8"/>
        <v>68.938811459644029</v>
      </c>
      <c r="U37" s="27">
        <v>1.1038699999999999</v>
      </c>
      <c r="V37" s="51">
        <f>IF(U37="","",IF(K37="Long",U37-Q37,Q37-U37))</f>
        <v>1.4899999999999913E-3</v>
      </c>
      <c r="W37" s="132">
        <f t="shared" si="3"/>
        <v>213.99756057262772</v>
      </c>
      <c r="X37" s="133">
        <f t="shared" si="5"/>
        <v>3.1041666666664161</v>
      </c>
      <c r="Y37" s="12" t="s">
        <v>169</v>
      </c>
      <c r="Z37" s="27">
        <v>1.1038699999999999</v>
      </c>
      <c r="AA37" s="25">
        <v>0</v>
      </c>
      <c r="AB37" s="25">
        <v>0</v>
      </c>
      <c r="AC37" s="25">
        <f>+W37</f>
        <v>213.99756057262772</v>
      </c>
      <c r="AD37" s="52">
        <f t="shared" si="6"/>
        <v>213.99756057262772</v>
      </c>
      <c r="AE37" s="51">
        <f>IF(Z37="","",IF(K37="Long",Z37-Q37,Q37-Z37))</f>
        <v>1.4899999999999913E-3</v>
      </c>
      <c r="AF37" s="134">
        <f>IF(AE37="","",AC37*O37/T37)</f>
        <v>3.104166666666416E-2</v>
      </c>
      <c r="AG37" s="135">
        <f>M37+AC37</f>
        <v>7107.8787065370298</v>
      </c>
      <c r="AH37" s="2"/>
      <c r="AI37" s="50"/>
      <c r="AJ37" s="2"/>
      <c r="AK37" s="2"/>
      <c r="AL37" s="2"/>
      <c r="BC37" s="31" t="s">
        <v>170</v>
      </c>
      <c r="BD37" s="7" t="str">
        <f t="shared" si="9"/>
        <v>Exotics</v>
      </c>
    </row>
    <row r="38" spans="1:56">
      <c r="A38" s="1"/>
      <c r="B38" s="125" t="s">
        <v>100</v>
      </c>
      <c r="C38" s="140">
        <v>33</v>
      </c>
      <c r="D38" s="11" t="s">
        <v>102</v>
      </c>
      <c r="E38" s="12" t="s">
        <v>171</v>
      </c>
      <c r="F38" s="13" t="s">
        <v>49</v>
      </c>
      <c r="G38" s="13" t="s">
        <v>56</v>
      </c>
      <c r="H38" s="29" t="s">
        <v>106</v>
      </c>
      <c r="I38" s="14" t="s">
        <v>64</v>
      </c>
      <c r="J38" s="15" t="s">
        <v>134</v>
      </c>
      <c r="K38" s="16" t="s">
        <v>66</v>
      </c>
      <c r="L38" s="40" t="s">
        <v>52</v>
      </c>
      <c r="M38" s="17">
        <f>AG37</f>
        <v>7107.8787065370298</v>
      </c>
      <c r="N38" s="52">
        <f t="shared" si="1"/>
        <v>71.078787065370292</v>
      </c>
      <c r="O38" s="19">
        <v>0.01</v>
      </c>
      <c r="P38" s="20">
        <v>0.08</v>
      </c>
      <c r="Q38" s="26">
        <v>1.34944</v>
      </c>
      <c r="R38" s="28">
        <v>1.3497399999999999</v>
      </c>
      <c r="S38" s="51">
        <f>IF(R38="","",IF(K38="Long",Q38-R38,R38-Q38))</f>
        <v>2.9999999999996696E-4</v>
      </c>
      <c r="T38" s="131">
        <f t="shared" si="8"/>
        <v>71.078787065370292</v>
      </c>
      <c r="U38" s="27">
        <v>1.3485400000000001</v>
      </c>
      <c r="V38" s="51">
        <f>IF(U38="","",IF(K38="Long",U38-Q38,Q38-U38))</f>
        <v>8.9999999999990088E-4</v>
      </c>
      <c r="W38" s="132">
        <f t="shared" si="3"/>
        <v>213.23636119611086</v>
      </c>
      <c r="X38" s="133">
        <f t="shared" si="5"/>
        <v>3</v>
      </c>
      <c r="Y38" s="12" t="s">
        <v>171</v>
      </c>
      <c r="Z38" s="27">
        <v>1.3485400000000001</v>
      </c>
      <c r="AA38" s="25">
        <v>0</v>
      </c>
      <c r="AB38" s="25">
        <v>0</v>
      </c>
      <c r="AC38" s="25">
        <f>+W38</f>
        <v>213.23636119611086</v>
      </c>
      <c r="AD38" s="52">
        <f t="shared" si="6"/>
        <v>213.23636119611086</v>
      </c>
      <c r="AE38" s="51">
        <f>IF(Z38="","",IF(K38="Long",Z38-Q38,Q38-Z38))</f>
        <v>8.9999999999990088E-4</v>
      </c>
      <c r="AF38" s="134">
        <f>IF(AE38="","",AC38*O38/T38)</f>
        <v>0.03</v>
      </c>
      <c r="AG38" s="135">
        <f>M38+AC38</f>
        <v>7321.1150677331407</v>
      </c>
      <c r="AH38" s="2"/>
      <c r="AI38" s="2"/>
      <c r="AJ38" s="2"/>
      <c r="AK38" s="2"/>
      <c r="AL38" s="2"/>
      <c r="BC38" s="30" t="s">
        <v>172</v>
      </c>
      <c r="BD38" s="7" t="str">
        <f t="shared" si="9"/>
        <v>Exotics</v>
      </c>
    </row>
    <row r="39" spans="1:56">
      <c r="A39" s="1"/>
      <c r="B39" s="125" t="s">
        <v>100</v>
      </c>
      <c r="C39" s="140">
        <v>34</v>
      </c>
      <c r="D39" s="11" t="s">
        <v>48</v>
      </c>
      <c r="E39" s="12" t="s">
        <v>173</v>
      </c>
      <c r="F39" s="13" t="s">
        <v>49</v>
      </c>
      <c r="G39" s="13" t="s">
        <v>56</v>
      </c>
      <c r="H39" s="29" t="s">
        <v>117</v>
      </c>
      <c r="I39" s="14" t="s">
        <v>64</v>
      </c>
      <c r="J39" s="15" t="s">
        <v>134</v>
      </c>
      <c r="K39" s="16" t="s">
        <v>68</v>
      </c>
      <c r="L39" s="136" t="s">
        <v>67</v>
      </c>
      <c r="M39" s="17">
        <f>AG38</f>
        <v>7321.1150677331407</v>
      </c>
      <c r="N39" s="52">
        <f t="shared" si="1"/>
        <v>73.211150677331403</v>
      </c>
      <c r="O39" s="19">
        <v>0.01</v>
      </c>
      <c r="P39" s="20">
        <v>0.06</v>
      </c>
      <c r="Q39" s="26">
        <v>135.02099999999999</v>
      </c>
      <c r="R39" s="28">
        <v>134.99700000000001</v>
      </c>
      <c r="S39" s="51">
        <f>IF(R39="","",IF(K39="Long",Q39-R39,R39-Q39))</f>
        <v>2.3999999999972488E-2</v>
      </c>
      <c r="T39" s="131">
        <f t="shared" si="8"/>
        <v>73.211150677331403</v>
      </c>
      <c r="U39" s="27">
        <v>135.09299999999999</v>
      </c>
      <c r="V39" s="51">
        <f>IF(U39="","",IF(K39="Long",U39-Q39,Q39-U39))</f>
        <v>7.2000000000002728E-2</v>
      </c>
      <c r="W39" s="132">
        <f t="shared" si="3"/>
        <v>219.6334520322543</v>
      </c>
      <c r="X39" s="133">
        <f t="shared" si="5"/>
        <v>3.0000000000035527</v>
      </c>
      <c r="Y39" s="12" t="s">
        <v>173</v>
      </c>
      <c r="Z39" s="28">
        <v>134.99700000000001</v>
      </c>
      <c r="AA39" s="25">
        <v>0</v>
      </c>
      <c r="AB39" s="25">
        <v>0</v>
      </c>
      <c r="AC39" s="25">
        <f>-T39</f>
        <v>-73.211150677331403</v>
      </c>
      <c r="AD39" s="52">
        <f t="shared" si="6"/>
        <v>-73.211150677331403</v>
      </c>
      <c r="AE39" s="51">
        <f>IF(Z39="","",IF(K39="Long",Z39-Q39,Q39-Z39))</f>
        <v>-2.3999999999972488E-2</v>
      </c>
      <c r="AF39" s="134">
        <f>IF(AE39="","",AC39*O39/T39)</f>
        <v>-0.01</v>
      </c>
      <c r="AG39" s="135">
        <f>M39+AC39</f>
        <v>7247.903917055809</v>
      </c>
      <c r="AH39" s="2"/>
      <c r="AI39" s="2"/>
      <c r="AJ39" s="2"/>
      <c r="AK39" s="2"/>
      <c r="AL39" s="2"/>
      <c r="BC39" s="30" t="s">
        <v>174</v>
      </c>
      <c r="BD39" s="7" t="str">
        <f t="shared" si="9"/>
        <v>Exotics</v>
      </c>
    </row>
    <row r="40" spans="1:56">
      <c r="A40" s="1"/>
      <c r="B40" s="125" t="s">
        <v>100</v>
      </c>
      <c r="C40" s="140">
        <v>35</v>
      </c>
      <c r="D40" s="11" t="s">
        <v>69</v>
      </c>
      <c r="E40" s="12" t="s">
        <v>175</v>
      </c>
      <c r="F40" s="13" t="s">
        <v>62</v>
      </c>
      <c r="G40" s="13" t="s">
        <v>74</v>
      </c>
      <c r="H40" s="29" t="s">
        <v>153</v>
      </c>
      <c r="I40" s="14" t="s">
        <v>64</v>
      </c>
      <c r="J40" s="15" t="s">
        <v>134</v>
      </c>
      <c r="K40" s="16" t="s">
        <v>68</v>
      </c>
      <c r="L40" s="40" t="s">
        <v>67</v>
      </c>
      <c r="M40" s="17">
        <f>AG39</f>
        <v>7247.903917055809</v>
      </c>
      <c r="N40" s="18">
        <f t="shared" si="1"/>
        <v>72.479039170558096</v>
      </c>
      <c r="O40" s="19">
        <v>0.01</v>
      </c>
      <c r="P40" s="20"/>
      <c r="Q40" s="26">
        <v>1.6907000000000001</v>
      </c>
      <c r="R40" s="28">
        <v>1.6901900000000001</v>
      </c>
      <c r="S40" s="21">
        <f>IF(R40="","",IF(K40="Long",Q40-R40,R40-Q40))</f>
        <v>5.1000000000001044E-4</v>
      </c>
      <c r="T40" s="22">
        <f t="shared" si="8"/>
        <v>72.479039170558096</v>
      </c>
      <c r="U40" s="27">
        <v>1.6922299999999999</v>
      </c>
      <c r="V40" s="51">
        <f>IF(U40="","",IF(K40="Long",U40-Q40,Q40-U40))</f>
        <v>1.5299999999998093E-3</v>
      </c>
      <c r="W40" s="132">
        <f t="shared" si="3"/>
        <v>217.43711751164275</v>
      </c>
      <c r="X40" s="133">
        <f t="shared" si="5"/>
        <v>2.9999999999995648</v>
      </c>
      <c r="Y40" s="12" t="s">
        <v>175</v>
      </c>
      <c r="Z40" s="28">
        <v>1.6901900000000001</v>
      </c>
      <c r="AA40" s="25">
        <v>0</v>
      </c>
      <c r="AB40" s="25">
        <v>0</v>
      </c>
      <c r="AC40" s="25">
        <f>-T40</f>
        <v>-72.479039170558096</v>
      </c>
      <c r="AD40" s="52">
        <f t="shared" si="6"/>
        <v>-72.479039170558096</v>
      </c>
      <c r="AE40" s="51">
        <f>IF(Z40="","",IF(K40="Long",Z40-Q40,Q40-Z40))</f>
        <v>-5.1000000000001044E-4</v>
      </c>
      <c r="AF40" s="134">
        <f>IF(AE40="","",AC40*O40/T40)</f>
        <v>-0.01</v>
      </c>
      <c r="AG40" s="135">
        <f>M40+AC40</f>
        <v>7175.4248778852507</v>
      </c>
      <c r="AH40" s="2"/>
      <c r="AI40" s="2"/>
      <c r="AJ40" s="2"/>
      <c r="AK40" s="2"/>
      <c r="AL40" s="2"/>
      <c r="BC40" s="31" t="s">
        <v>176</v>
      </c>
      <c r="BD40" s="7" t="str">
        <f t="shared" si="9"/>
        <v>Exotics</v>
      </c>
    </row>
    <row r="41" spans="1:56">
      <c r="A41" s="1"/>
      <c r="B41" s="141" t="s">
        <v>177</v>
      </c>
      <c r="C41" s="142">
        <v>36</v>
      </c>
      <c r="D41" s="11" t="s">
        <v>94</v>
      </c>
      <c r="E41" s="12" t="s">
        <v>178</v>
      </c>
      <c r="F41" s="13" t="s">
        <v>49</v>
      </c>
      <c r="G41" s="13" t="s">
        <v>56</v>
      </c>
      <c r="H41" s="29" t="s">
        <v>113</v>
      </c>
      <c r="I41" s="14" t="s">
        <v>64</v>
      </c>
      <c r="J41" s="15" t="s">
        <v>134</v>
      </c>
      <c r="K41" s="16" t="s">
        <v>68</v>
      </c>
      <c r="L41" s="40" t="s">
        <v>67</v>
      </c>
      <c r="M41" s="17">
        <f>AG40</f>
        <v>7175.4248778852507</v>
      </c>
      <c r="N41" s="18">
        <f t="shared" si="1"/>
        <v>71.754248778852514</v>
      </c>
      <c r="O41" s="19">
        <v>0.01</v>
      </c>
      <c r="P41" s="20"/>
      <c r="Q41" s="26">
        <v>0.89532</v>
      </c>
      <c r="R41" s="28">
        <v>0.89288000000000001</v>
      </c>
      <c r="S41" s="21">
        <f>IF(R41="","",IF(K41="Long",Q41-R41,R41-Q41))</f>
        <v>2.4399999999999977E-3</v>
      </c>
      <c r="T41" s="22">
        <f t="shared" si="8"/>
        <v>71.754248778852514</v>
      </c>
      <c r="U41" s="27">
        <v>0.89532</v>
      </c>
      <c r="V41" s="51">
        <f>IF(U41="","",IF(K41="Long",U41-Q41,Q41-U41))</f>
        <v>0</v>
      </c>
      <c r="W41" s="132">
        <f t="shared" si="3"/>
        <v>0</v>
      </c>
      <c r="X41" s="133">
        <f t="shared" si="5"/>
        <v>0</v>
      </c>
      <c r="Y41" s="12" t="s">
        <v>178</v>
      </c>
      <c r="Z41" s="28">
        <v>0.89288000000000001</v>
      </c>
      <c r="AA41" s="25">
        <v>-8.3800000000000008</v>
      </c>
      <c r="AB41" s="25">
        <v>0</v>
      </c>
      <c r="AC41" s="25">
        <f>-T41</f>
        <v>-71.754248778852514</v>
      </c>
      <c r="AD41" s="52">
        <f t="shared" si="6"/>
        <v>-80.134248778852509</v>
      </c>
      <c r="AE41" s="51">
        <f>IF(Z41="","",IF(K41="Long",Z41-Q41,Q41-Z41))</f>
        <v>-2.4399999999999977E-3</v>
      </c>
      <c r="AF41" s="134">
        <f>IF(AE41="","",AC41*O41/T41)</f>
        <v>-0.01</v>
      </c>
      <c r="AG41" s="135">
        <f>M41+AC41</f>
        <v>7103.6706291063983</v>
      </c>
      <c r="AH41" s="2"/>
      <c r="AI41" s="2"/>
      <c r="AJ41" s="2"/>
      <c r="AK41" s="2"/>
      <c r="AL41" s="2"/>
      <c r="BC41" s="31" t="s">
        <v>179</v>
      </c>
      <c r="BD41" s="7" t="str">
        <f t="shared" si="9"/>
        <v>Exotics</v>
      </c>
    </row>
    <row r="42" spans="1:56">
      <c r="A42" s="1"/>
      <c r="B42" s="125" t="s">
        <v>100</v>
      </c>
      <c r="C42" s="142">
        <v>37</v>
      </c>
      <c r="D42" s="11" t="s">
        <v>94</v>
      </c>
      <c r="E42" s="12" t="s">
        <v>178</v>
      </c>
      <c r="F42" s="13" t="s">
        <v>49</v>
      </c>
      <c r="G42" s="13" t="s">
        <v>56</v>
      </c>
      <c r="H42" s="29" t="s">
        <v>59</v>
      </c>
      <c r="I42" s="14" t="s">
        <v>64</v>
      </c>
      <c r="J42" s="15" t="s">
        <v>134</v>
      </c>
      <c r="K42" s="16" t="s">
        <v>47</v>
      </c>
      <c r="L42" s="40" t="s">
        <v>67</v>
      </c>
      <c r="M42" s="17">
        <f>AG41</f>
        <v>7103.6706291063983</v>
      </c>
      <c r="N42" s="18">
        <f t="shared" si="1"/>
        <v>71.036706291063979</v>
      </c>
      <c r="O42" s="19">
        <v>0.01</v>
      </c>
      <c r="P42" s="20"/>
      <c r="Q42" s="26">
        <v>1.0926199999999999</v>
      </c>
      <c r="R42" s="28">
        <v>1.0930899999999999</v>
      </c>
      <c r="S42" s="21">
        <f>IF(R42="","",IF(K42="Long",Q42-R42,R42-Q42))</f>
        <v>4.6999999999997044E-4</v>
      </c>
      <c r="T42" s="22">
        <f t="shared" si="8"/>
        <v>71.036706291063979</v>
      </c>
      <c r="U42" s="27">
        <v>1.09121</v>
      </c>
      <c r="V42" s="51">
        <f>IF(U42="","",IF(K42="Long",U42-Q42,Q42-U42))</f>
        <v>1.4099999999999113E-3</v>
      </c>
      <c r="W42" s="132">
        <f t="shared" si="3"/>
        <v>213.11011887319194</v>
      </c>
      <c r="X42" s="133">
        <f t="shared" si="5"/>
        <v>3</v>
      </c>
      <c r="Y42" s="12" t="s">
        <v>178</v>
      </c>
      <c r="Z42" s="28">
        <v>1.0930899999999999</v>
      </c>
      <c r="AA42" s="25">
        <v>0</v>
      </c>
      <c r="AB42" s="25">
        <v>0</v>
      </c>
      <c r="AC42" s="25">
        <f>-T42</f>
        <v>-71.036706291063979</v>
      </c>
      <c r="AD42" s="52">
        <f t="shared" si="6"/>
        <v>-71.036706291063979</v>
      </c>
      <c r="AE42" s="51">
        <f>IF(Z42="","",IF(K42="Long",Z42-Q42,Q42-Z42))</f>
        <v>-4.6999999999997044E-4</v>
      </c>
      <c r="AF42" s="134">
        <f>IF(AE42="","",AC42*O42/T42)</f>
        <v>-0.01</v>
      </c>
      <c r="AG42" s="135">
        <f>M42+AC42</f>
        <v>7032.6339228153347</v>
      </c>
      <c r="AH42" s="2"/>
      <c r="AI42" s="2"/>
      <c r="AJ42" s="2"/>
      <c r="AK42" s="2"/>
      <c r="AL42" s="2"/>
      <c r="BC42" s="30" t="s">
        <v>180</v>
      </c>
      <c r="BD42" s="7" t="str">
        <f t="shared" si="9"/>
        <v>Exotics</v>
      </c>
    </row>
    <row r="43" spans="1:56">
      <c r="A43" s="1"/>
      <c r="B43" s="125" t="s">
        <v>100</v>
      </c>
      <c r="C43" s="142">
        <v>38</v>
      </c>
      <c r="D43" s="11" t="s">
        <v>102</v>
      </c>
      <c r="E43" s="12" t="s">
        <v>181</v>
      </c>
      <c r="F43" s="13" t="s">
        <v>62</v>
      </c>
      <c r="G43" s="13" t="s">
        <v>74</v>
      </c>
      <c r="H43" s="29" t="s">
        <v>120</v>
      </c>
      <c r="I43" s="14" t="s">
        <v>64</v>
      </c>
      <c r="J43" s="15" t="s">
        <v>80</v>
      </c>
      <c r="K43" s="16" t="s">
        <v>47</v>
      </c>
      <c r="L43" s="40" t="s">
        <v>52</v>
      </c>
      <c r="M43" s="17">
        <f>AG42</f>
        <v>7032.6339228153347</v>
      </c>
      <c r="N43" s="18">
        <f t="shared" si="1"/>
        <v>70.326339228153344</v>
      </c>
      <c r="O43" s="19">
        <v>0.01</v>
      </c>
      <c r="P43" s="20"/>
      <c r="Q43" s="26">
        <v>0.90186999999999995</v>
      </c>
      <c r="R43" s="28">
        <v>0.90236000000000005</v>
      </c>
      <c r="S43" s="21">
        <f>IF(R43="","",IF(K43="Long",Q43-R43,R43-Q43))</f>
        <v>4.9000000000010147E-4</v>
      </c>
      <c r="T43" s="22">
        <f t="shared" si="8"/>
        <v>70.326339228153344</v>
      </c>
      <c r="U43" s="27">
        <v>0.90039999999999998</v>
      </c>
      <c r="V43" s="51">
        <f>IF(U43="","",IF(K43="Long",U43-Q43,Q43-U43))</f>
        <v>1.4699999999999713E-3</v>
      </c>
      <c r="W43" s="132">
        <f t="shared" si="3"/>
        <v>210.97901768441221</v>
      </c>
      <c r="X43" s="133">
        <f t="shared" si="5"/>
        <v>2.9999999999993201</v>
      </c>
      <c r="Y43" s="12" t="s">
        <v>181</v>
      </c>
      <c r="Z43" s="27">
        <v>0.90039999999999998</v>
      </c>
      <c r="AA43" s="25">
        <v>0</v>
      </c>
      <c r="AB43" s="25">
        <v>0</v>
      </c>
      <c r="AC43" s="25">
        <f>+W43</f>
        <v>210.97901768441221</v>
      </c>
      <c r="AD43" s="52">
        <f t="shared" si="6"/>
        <v>210.97901768441221</v>
      </c>
      <c r="AE43" s="51">
        <f>IF(Z43="","",IF(K43="Long",Z43-Q43,Q43-Z43))</f>
        <v>1.4699999999999713E-3</v>
      </c>
      <c r="AF43" s="53">
        <f>IF(AE43="","",AC43*O43/T43)</f>
        <v>2.9999999999993202E-2</v>
      </c>
      <c r="AG43" s="135">
        <f>M43+AC43</f>
        <v>7243.6129404997473</v>
      </c>
      <c r="AH43" s="2"/>
      <c r="AI43" s="2"/>
      <c r="AJ43" s="2"/>
      <c r="AK43" s="2"/>
      <c r="AL43" s="2"/>
      <c r="BC43" s="30" t="s">
        <v>182</v>
      </c>
      <c r="BD43" s="7" t="str">
        <f t="shared" si="9"/>
        <v>Exotics</v>
      </c>
    </row>
    <row r="44" spans="1:56">
      <c r="A44" s="1"/>
      <c r="B44" s="141" t="s">
        <v>177</v>
      </c>
      <c r="C44" s="142">
        <v>39</v>
      </c>
      <c r="D44" s="11" t="s">
        <v>82</v>
      </c>
      <c r="E44" s="12" t="s">
        <v>183</v>
      </c>
      <c r="F44" s="13" t="s">
        <v>49</v>
      </c>
      <c r="G44" s="13" t="s">
        <v>56</v>
      </c>
      <c r="H44" s="29" t="s">
        <v>79</v>
      </c>
      <c r="I44" s="14" t="s">
        <v>64</v>
      </c>
      <c r="J44" s="15" t="s">
        <v>80</v>
      </c>
      <c r="K44" s="16" t="s">
        <v>66</v>
      </c>
      <c r="L44" s="40" t="s">
        <v>67</v>
      </c>
      <c r="M44" s="17">
        <f>AG43</f>
        <v>7243.6129404997473</v>
      </c>
      <c r="N44" s="18">
        <f t="shared" si="1"/>
        <v>72.436129404997473</v>
      </c>
      <c r="O44" s="19">
        <v>0.01</v>
      </c>
      <c r="P44" s="20"/>
      <c r="Q44" s="26">
        <v>1.2451700000000001</v>
      </c>
      <c r="R44" s="28">
        <v>1.2462800000000001</v>
      </c>
      <c r="S44" s="21">
        <f>IF(R44="","",IF(K44="Long",Q44-R44,R44-Q44))</f>
        <v>1.1099999999999444E-3</v>
      </c>
      <c r="T44" s="22">
        <f t="shared" si="8"/>
        <v>72.436129404997473</v>
      </c>
      <c r="U44" s="27">
        <v>1.2418400000000001</v>
      </c>
      <c r="V44" s="51">
        <f>IF(U44="","",IF(K44="Long",U44-Q44,Q44-U44))</f>
        <v>3.3300000000000551E-3</v>
      </c>
      <c r="W44" s="132">
        <f t="shared" si="3"/>
        <v>217.30838821500689</v>
      </c>
      <c r="X44" s="133">
        <f t="shared" si="5"/>
        <v>3.0000000000001998</v>
      </c>
      <c r="Y44" s="12" t="s">
        <v>183</v>
      </c>
      <c r="Z44" s="28">
        <v>1.2462800000000001</v>
      </c>
      <c r="AA44" s="25">
        <v>0</v>
      </c>
      <c r="AB44" s="25">
        <v>0</v>
      </c>
      <c r="AC44" s="25">
        <f>-T44</f>
        <v>-72.436129404997473</v>
      </c>
      <c r="AD44" s="52">
        <f t="shared" si="6"/>
        <v>-72.436129404997473</v>
      </c>
      <c r="AE44" s="51">
        <f>IF(Z44="","",IF(K44="Long",Z44-Q44,Q44-Z44))</f>
        <v>-1.1099999999999444E-3</v>
      </c>
      <c r="AF44" s="53">
        <f>IF(AE44="","",AC44*O44/T44)</f>
        <v>-0.01</v>
      </c>
      <c r="AG44" s="135">
        <f>M44+AC44</f>
        <v>7171.1768110947496</v>
      </c>
      <c r="AH44" s="2"/>
      <c r="AI44" s="2"/>
      <c r="AJ44" s="2"/>
      <c r="AK44" s="2"/>
      <c r="AL44" s="2"/>
      <c r="BC44" s="30" t="s">
        <v>184</v>
      </c>
      <c r="BD44" s="7" t="str">
        <f t="shared" si="9"/>
        <v>Exotics</v>
      </c>
    </row>
    <row r="45" spans="1:56">
      <c r="A45" s="1"/>
      <c r="B45" s="141" t="s">
        <v>177</v>
      </c>
      <c r="C45" s="142">
        <v>40</v>
      </c>
      <c r="D45" s="11" t="s">
        <v>94</v>
      </c>
      <c r="E45" s="12" t="s">
        <v>185</v>
      </c>
      <c r="F45" s="13" t="s">
        <v>49</v>
      </c>
      <c r="G45" s="13" t="s">
        <v>74</v>
      </c>
      <c r="H45" s="29" t="s">
        <v>153</v>
      </c>
      <c r="I45" s="14" t="s">
        <v>64</v>
      </c>
      <c r="J45" s="15" t="s">
        <v>134</v>
      </c>
      <c r="K45" s="16" t="s">
        <v>66</v>
      </c>
      <c r="L45" s="40" t="s">
        <v>52</v>
      </c>
      <c r="M45" s="17">
        <f>AG44</f>
        <v>7171.1768110947496</v>
      </c>
      <c r="N45" s="18">
        <f t="shared" si="1"/>
        <v>71.711768110947503</v>
      </c>
      <c r="O45" s="19">
        <v>0.01</v>
      </c>
      <c r="P45" s="20"/>
      <c r="Q45" s="26">
        <v>1.6794</v>
      </c>
      <c r="R45" s="28">
        <v>1.67991</v>
      </c>
      <c r="S45" s="21">
        <f>IF(R45="","",IF(K45="Long",Q45-R45,R45-Q45))</f>
        <v>5.1000000000001044E-4</v>
      </c>
      <c r="T45" s="22">
        <f t="shared" si="8"/>
        <v>71.711768110947503</v>
      </c>
      <c r="U45" s="27">
        <v>1.67787</v>
      </c>
      <c r="V45" s="51">
        <f>IF(U45="","",IF(K45="Long",U45-Q45,Q45-U45))</f>
        <v>1.5300000000000313E-3</v>
      </c>
      <c r="W45" s="132">
        <f t="shared" si="3"/>
        <v>215.13530433284251</v>
      </c>
      <c r="X45" s="133">
        <f t="shared" si="5"/>
        <v>3</v>
      </c>
      <c r="Y45" s="12" t="s">
        <v>185</v>
      </c>
      <c r="Z45" s="27">
        <v>1.67787</v>
      </c>
      <c r="AA45" s="25">
        <v>0</v>
      </c>
      <c r="AB45" s="25">
        <v>0</v>
      </c>
      <c r="AC45" s="25">
        <f>+W45</f>
        <v>215.13530433284251</v>
      </c>
      <c r="AD45" s="52">
        <f t="shared" si="6"/>
        <v>215.13530433284251</v>
      </c>
      <c r="AE45" s="51">
        <f>IF(Z45="","",IF(K45="Long",Z45-Q45,Q45-Z45))</f>
        <v>1.5300000000000313E-3</v>
      </c>
      <c r="AF45" s="53">
        <f>IF(AE45="","",AC45*O45/T45)</f>
        <v>3.0000000000000002E-2</v>
      </c>
      <c r="AG45" s="135">
        <f>M45+AC45</f>
        <v>7386.3121154275923</v>
      </c>
      <c r="AH45" s="2"/>
      <c r="AI45" s="2"/>
      <c r="AJ45" s="2"/>
      <c r="AK45" s="2"/>
      <c r="AL45" s="2"/>
      <c r="BC45" s="30" t="s">
        <v>186</v>
      </c>
      <c r="BD45" s="7" t="str">
        <f t="shared" si="9"/>
        <v>Exotics</v>
      </c>
    </row>
    <row r="46" spans="1:56">
      <c r="A46" s="1"/>
      <c r="B46" s="141" t="s">
        <v>177</v>
      </c>
      <c r="C46" s="142">
        <v>41</v>
      </c>
      <c r="D46" s="11" t="s">
        <v>94</v>
      </c>
      <c r="E46" s="12" t="s">
        <v>185</v>
      </c>
      <c r="F46" s="13" t="s">
        <v>49</v>
      </c>
      <c r="G46" s="13" t="s">
        <v>56</v>
      </c>
      <c r="H46" s="29" t="s">
        <v>79</v>
      </c>
      <c r="I46" s="14" t="s">
        <v>64</v>
      </c>
      <c r="J46" s="15" t="s">
        <v>80</v>
      </c>
      <c r="K46" s="16" t="s">
        <v>66</v>
      </c>
      <c r="L46" s="40" t="s">
        <v>67</v>
      </c>
      <c r="M46" s="17">
        <f>AG45</f>
        <v>7386.3121154275923</v>
      </c>
      <c r="N46" s="18">
        <f t="shared" si="1"/>
        <v>73.86312115427593</v>
      </c>
      <c r="O46" s="19">
        <v>0.01</v>
      </c>
      <c r="P46" s="20"/>
      <c r="Q46" s="26">
        <v>1.2434400000000001</v>
      </c>
      <c r="R46" s="28">
        <v>1.2442</v>
      </c>
      <c r="S46" s="21">
        <f>IF(R46="","",IF(K46="Long",Q46-R46,R46-Q46))</f>
        <v>7.5999999999987189E-4</v>
      </c>
      <c r="T46" s="22">
        <f t="shared" si="8"/>
        <v>73.86312115427593</v>
      </c>
      <c r="U46" s="27">
        <v>1.24116</v>
      </c>
      <c r="V46" s="21">
        <f>IF(U46="","",IF(K46="Long",U46-Q46,Q46-U46))</f>
        <v>2.2800000000000598E-3</v>
      </c>
      <c r="W46" s="23">
        <f t="shared" si="3"/>
        <v>221.58936346287095</v>
      </c>
      <c r="X46" s="24">
        <f t="shared" si="5"/>
        <v>3.0000000000005844</v>
      </c>
      <c r="Y46" s="12" t="s">
        <v>185</v>
      </c>
      <c r="Z46" s="28">
        <v>1.2442</v>
      </c>
      <c r="AA46" s="25">
        <v>0</v>
      </c>
      <c r="AB46" s="25">
        <v>0</v>
      </c>
      <c r="AC46" s="25">
        <f>-T46</f>
        <v>-73.86312115427593</v>
      </c>
      <c r="AD46" s="52">
        <f t="shared" si="6"/>
        <v>-73.86312115427593</v>
      </c>
      <c r="AE46" s="51">
        <f>IF(Z46="","",IF(K46="Long",Z46-Q46,Q46-Z46))</f>
        <v>-7.5999999999987189E-4</v>
      </c>
      <c r="AF46" s="53">
        <f>IF(AE46="","",AC46*O46/T46)</f>
        <v>-0.01</v>
      </c>
      <c r="AG46" s="135">
        <f>M46+AC46</f>
        <v>7312.4489942733162</v>
      </c>
      <c r="AH46" s="2"/>
      <c r="AI46" s="2"/>
      <c r="AJ46" s="2"/>
      <c r="AK46" s="2"/>
      <c r="AL46" s="2"/>
      <c r="BC46" s="31" t="s">
        <v>187</v>
      </c>
      <c r="BD46" s="7" t="str">
        <f t="shared" si="9"/>
        <v>Exotics</v>
      </c>
    </row>
    <row r="47" spans="1:56">
      <c r="A47" s="1"/>
      <c r="B47" s="141" t="s">
        <v>177</v>
      </c>
      <c r="C47" s="142">
        <v>42</v>
      </c>
      <c r="D47" s="11" t="s">
        <v>102</v>
      </c>
      <c r="E47" s="12" t="s">
        <v>188</v>
      </c>
      <c r="F47" s="13" t="s">
        <v>49</v>
      </c>
      <c r="G47" s="13" t="s">
        <v>74</v>
      </c>
      <c r="H47" s="29" t="s">
        <v>151</v>
      </c>
      <c r="I47" s="14" t="s">
        <v>64</v>
      </c>
      <c r="J47" s="15" t="s">
        <v>134</v>
      </c>
      <c r="K47" s="16" t="s">
        <v>66</v>
      </c>
      <c r="L47" s="40" t="s">
        <v>67</v>
      </c>
      <c r="M47" s="17">
        <f>AG46</f>
        <v>7312.4489942733162</v>
      </c>
      <c r="N47" s="18">
        <f t="shared" si="1"/>
        <v>73.124489942733163</v>
      </c>
      <c r="O47" s="19">
        <v>0.01</v>
      </c>
      <c r="P47" s="20"/>
      <c r="Q47" s="26">
        <v>1.8649899999999999</v>
      </c>
      <c r="R47" s="28">
        <v>1.8660000000000001</v>
      </c>
      <c r="S47" s="21">
        <f>IF(R47="","",IF(K47="Long",Q47-R47,R47-Q47))</f>
        <v>1.0100000000001774E-3</v>
      </c>
      <c r="T47" s="22">
        <f t="shared" si="8"/>
        <v>73.124489942733163</v>
      </c>
      <c r="U47" s="27">
        <v>1.8619600000000001</v>
      </c>
      <c r="V47" s="21">
        <f>IF(U47="","",IF(K47="Long",U47-Q47,Q47-U47))</f>
        <v>3.0299999999998661E-3</v>
      </c>
      <c r="W47" s="23">
        <f t="shared" si="3"/>
        <v>219.37346982815126</v>
      </c>
      <c r="X47" s="24">
        <f t="shared" si="5"/>
        <v>2.9999999999993405</v>
      </c>
      <c r="Y47" s="12" t="s">
        <v>188</v>
      </c>
      <c r="Z47" s="28">
        <v>1.8660000000000001</v>
      </c>
      <c r="AA47" s="25">
        <v>0</v>
      </c>
      <c r="AB47" s="25">
        <v>0</v>
      </c>
      <c r="AC47" s="25">
        <f>-T47</f>
        <v>-73.124489942733163</v>
      </c>
      <c r="AD47" s="52">
        <f t="shared" si="6"/>
        <v>-73.124489942733163</v>
      </c>
      <c r="AE47" s="51">
        <f>IF(Z47="","",IF(K47="Long",Z47-Q47,Q47-Z47))</f>
        <v>-1.0100000000001774E-3</v>
      </c>
      <c r="AF47" s="53">
        <f>IF(AE47="","",AC47*O47/T47)</f>
        <v>-0.01</v>
      </c>
      <c r="AG47" s="135">
        <f>M47+AC47</f>
        <v>7239.3245043305833</v>
      </c>
      <c r="AH47" s="2"/>
      <c r="AI47" s="2"/>
      <c r="AJ47" s="2"/>
      <c r="AK47" s="2"/>
      <c r="AL47" s="2"/>
      <c r="BC47" s="30" t="s">
        <v>189</v>
      </c>
      <c r="BD47" s="7" t="str">
        <f t="shared" si="9"/>
        <v>Exotics</v>
      </c>
    </row>
    <row r="48" spans="1:56">
      <c r="A48" s="1"/>
      <c r="B48" s="141" t="s">
        <v>177</v>
      </c>
      <c r="C48" s="142">
        <v>43</v>
      </c>
      <c r="D48" s="11" t="s">
        <v>82</v>
      </c>
      <c r="E48" s="12" t="s">
        <v>190</v>
      </c>
      <c r="F48" s="13" t="s">
        <v>49</v>
      </c>
      <c r="G48" s="13" t="s">
        <v>56</v>
      </c>
      <c r="H48" s="29" t="s">
        <v>59</v>
      </c>
      <c r="I48" s="14" t="s">
        <v>64</v>
      </c>
      <c r="J48" s="15" t="s">
        <v>134</v>
      </c>
      <c r="K48" s="16" t="s">
        <v>66</v>
      </c>
      <c r="L48" s="40" t="s">
        <v>67</v>
      </c>
      <c r="M48" s="17">
        <f>AG47</f>
        <v>7239.3245043305833</v>
      </c>
      <c r="N48" s="18">
        <f t="shared" si="1"/>
        <v>72.393245043305839</v>
      </c>
      <c r="O48" s="19">
        <v>0.01</v>
      </c>
      <c r="P48" s="20"/>
      <c r="Q48" s="26">
        <v>1.07762</v>
      </c>
      <c r="R48" s="28">
        <v>1.07813</v>
      </c>
      <c r="S48" s="21">
        <f>IF(R48="","",IF(K48="Long",Q48-R48,R48-Q48))</f>
        <v>5.1000000000001044E-4</v>
      </c>
      <c r="T48" s="22">
        <f t="shared" si="8"/>
        <v>72.393245043305839</v>
      </c>
      <c r="U48" s="27">
        <v>1.07609</v>
      </c>
      <c r="V48" s="21">
        <f>IF(U48="","",IF(K48="Long",U48-Q48,Q48-U48))</f>
        <v>1.5300000000000313E-3</v>
      </c>
      <c r="W48" s="23">
        <f t="shared" si="3"/>
        <v>217.1797351299175</v>
      </c>
      <c r="X48" s="24">
        <f t="shared" si="5"/>
        <v>3</v>
      </c>
      <c r="Y48" s="12" t="s">
        <v>190</v>
      </c>
      <c r="Z48" s="28">
        <v>1.07813</v>
      </c>
      <c r="AA48" s="25">
        <v>0</v>
      </c>
      <c r="AB48" s="25">
        <v>0</v>
      </c>
      <c r="AC48" s="25">
        <f>-T48</f>
        <v>-72.393245043305839</v>
      </c>
      <c r="AD48" s="52">
        <f t="shared" si="6"/>
        <v>-72.393245043305839</v>
      </c>
      <c r="AE48" s="51">
        <f>IF(Z48="","",IF(K48="Long",Z48-Q48,Q48-Z48))</f>
        <v>-5.1000000000001044E-4</v>
      </c>
      <c r="AF48" s="53">
        <f>IF(AE48="","",AC48*O48/T48)</f>
        <v>-0.01</v>
      </c>
      <c r="AG48" s="135">
        <f>M48+AC48</f>
        <v>7166.9312592872775</v>
      </c>
      <c r="AH48" s="2"/>
      <c r="AI48" s="2"/>
      <c r="AJ48" s="2"/>
      <c r="AK48" s="2"/>
      <c r="AL48" s="2"/>
      <c r="BC48" s="30" t="s">
        <v>191</v>
      </c>
      <c r="BD48" s="7" t="str">
        <f t="shared" si="9"/>
        <v>Exotics</v>
      </c>
    </row>
    <row r="49" spans="1:56">
      <c r="A49" s="34"/>
      <c r="B49" s="141" t="s">
        <v>177</v>
      </c>
      <c r="C49" s="142">
        <v>44</v>
      </c>
      <c r="D49" s="11" t="s">
        <v>102</v>
      </c>
      <c r="E49" s="12" t="s">
        <v>192</v>
      </c>
      <c r="F49" s="13" t="s">
        <v>49</v>
      </c>
      <c r="G49" s="13" t="s">
        <v>56</v>
      </c>
      <c r="H49" s="29" t="s">
        <v>106</v>
      </c>
      <c r="I49" s="14" t="s">
        <v>64</v>
      </c>
      <c r="J49" s="15" t="s">
        <v>134</v>
      </c>
      <c r="K49" s="16" t="s">
        <v>66</v>
      </c>
      <c r="L49" s="40" t="s">
        <v>67</v>
      </c>
      <c r="M49" s="17">
        <f>AG48</f>
        <v>7166.9312592872775</v>
      </c>
      <c r="N49" s="18">
        <f t="shared" si="1"/>
        <v>71.669312592872771</v>
      </c>
      <c r="O49" s="19">
        <v>0.01</v>
      </c>
      <c r="P49" s="20"/>
      <c r="Q49" s="26">
        <v>1.3618600000000001</v>
      </c>
      <c r="R49" s="28">
        <v>1.3622399999999999</v>
      </c>
      <c r="S49" s="21">
        <f>IF(R49="","",IF(K49="Long",Q49-R49,R49-Q49))</f>
        <v>3.7999999999982492E-4</v>
      </c>
      <c r="T49" s="22">
        <f t="shared" si="8"/>
        <v>71.669312592872771</v>
      </c>
      <c r="U49" s="27">
        <v>1.3607199999999999</v>
      </c>
      <c r="V49" s="21">
        <f>IF(U49="","",IF(K49="Long",U49-Q49,Q49-U49))</f>
        <v>1.1400000000001409E-3</v>
      </c>
      <c r="W49" s="23">
        <f t="shared" si="3"/>
        <v>215.00793777874392</v>
      </c>
      <c r="X49" s="24">
        <f t="shared" si="5"/>
        <v>3.0000000000017528</v>
      </c>
      <c r="Y49" s="12" t="s">
        <v>192</v>
      </c>
      <c r="Z49" s="28">
        <v>1.3622399999999999</v>
      </c>
      <c r="AA49" s="25">
        <v>0</v>
      </c>
      <c r="AB49" s="25">
        <v>0</v>
      </c>
      <c r="AC49" s="25">
        <f>-T49</f>
        <v>-71.669312592872771</v>
      </c>
      <c r="AD49" s="52">
        <f t="shared" si="6"/>
        <v>-71.669312592872771</v>
      </c>
      <c r="AE49" s="51">
        <f>IF(Z49="","",IF(K49="Long",Z49-Q49,Q49-Z49))</f>
        <v>-3.7999999999982492E-4</v>
      </c>
      <c r="AF49" s="53">
        <f>IF(AE49="","",AC49*O49/T49)</f>
        <v>-0.01</v>
      </c>
      <c r="AG49" s="135">
        <f>M49+AC49</f>
        <v>7095.2619466944043</v>
      </c>
      <c r="AH49" s="2"/>
      <c r="AI49" s="2"/>
      <c r="AJ49" s="2"/>
      <c r="AK49" s="2"/>
      <c r="AL49" s="2"/>
      <c r="BC49" s="30" t="s">
        <v>193</v>
      </c>
      <c r="BD49" s="7" t="str">
        <f t="shared" si="9"/>
        <v>Exotics</v>
      </c>
    </row>
    <row r="50" spans="1:56">
      <c r="A50" s="34"/>
      <c r="B50" s="141" t="s">
        <v>177</v>
      </c>
      <c r="C50" s="142">
        <v>45</v>
      </c>
      <c r="D50" s="11" t="s">
        <v>69</v>
      </c>
      <c r="E50" s="12" t="s">
        <v>194</v>
      </c>
      <c r="F50" s="13" t="s">
        <v>49</v>
      </c>
      <c r="G50" s="13" t="s">
        <v>74</v>
      </c>
      <c r="H50" s="29" t="s">
        <v>147</v>
      </c>
      <c r="I50" s="14" t="s">
        <v>64</v>
      </c>
      <c r="J50" s="15" t="s">
        <v>80</v>
      </c>
      <c r="K50" s="16" t="s">
        <v>66</v>
      </c>
      <c r="L50" s="40" t="s">
        <v>52</v>
      </c>
      <c r="M50" s="17">
        <f>AG49</f>
        <v>7095.2619466944043</v>
      </c>
      <c r="N50" s="18">
        <f t="shared" si="1"/>
        <v>70.952619466944043</v>
      </c>
      <c r="O50" s="19">
        <v>0.01</v>
      </c>
      <c r="P50" s="20"/>
      <c r="Q50" s="26">
        <v>0.86636999999999997</v>
      </c>
      <c r="R50" s="28">
        <v>0.86685000000000001</v>
      </c>
      <c r="S50" s="21">
        <f>IF(R50="","",IF(K50="Long",Q50-R50,R50-Q50))</f>
        <v>4.8000000000003595E-4</v>
      </c>
      <c r="T50" s="22">
        <f t="shared" si="8"/>
        <v>70.952619466944043</v>
      </c>
      <c r="U50" s="27">
        <v>0.86492999999999998</v>
      </c>
      <c r="V50" s="21">
        <f>IF(U50="","",IF(K50="Long",U50-Q50,Q50-U50))</f>
        <v>1.4399999999999968E-3</v>
      </c>
      <c r="W50" s="23">
        <f t="shared" si="3"/>
        <v>212.8578584008157</v>
      </c>
      <c r="X50" s="24">
        <f t="shared" si="5"/>
        <v>2.9999999999997686</v>
      </c>
      <c r="Y50" s="12" t="s">
        <v>194</v>
      </c>
      <c r="Z50" s="27">
        <v>0.86492999999999998</v>
      </c>
      <c r="AA50" s="25">
        <v>0</v>
      </c>
      <c r="AB50" s="25">
        <v>0</v>
      </c>
      <c r="AC50" s="25">
        <f>+W50</f>
        <v>212.8578584008157</v>
      </c>
      <c r="AD50" s="52">
        <f t="shared" si="6"/>
        <v>212.8578584008157</v>
      </c>
      <c r="AE50" s="51">
        <f>IF(Z50="","",IF(K50="Long",Z50-Q50,Q50-Z50))</f>
        <v>1.4399999999999968E-3</v>
      </c>
      <c r="AF50" s="53">
        <f>IF(AE50="","",AC50*O50/T50)</f>
        <v>2.9999999999997685E-2</v>
      </c>
      <c r="AG50" s="135">
        <f>M50+AC50</f>
        <v>7308.1198050952198</v>
      </c>
      <c r="AH50" s="2"/>
      <c r="AI50" s="2"/>
      <c r="AJ50" s="2"/>
      <c r="AK50" s="2"/>
      <c r="AL50" s="2"/>
      <c r="BC50" s="30" t="s">
        <v>195</v>
      </c>
      <c r="BD50" s="7" t="str">
        <f t="shared" si="9"/>
        <v>Exotics</v>
      </c>
    </row>
    <row r="51" spans="1:56">
      <c r="A51" s="34"/>
      <c r="B51" s="141" t="s">
        <v>177</v>
      </c>
      <c r="C51" s="140">
        <v>46</v>
      </c>
      <c r="D51" s="11" t="s">
        <v>82</v>
      </c>
      <c r="E51" s="12" t="s">
        <v>196</v>
      </c>
      <c r="F51" s="13" t="s">
        <v>49</v>
      </c>
      <c r="G51" s="13" t="s">
        <v>74</v>
      </c>
      <c r="H51" s="29" t="s">
        <v>146</v>
      </c>
      <c r="I51" s="14" t="s">
        <v>64</v>
      </c>
      <c r="J51" s="15" t="s">
        <v>80</v>
      </c>
      <c r="K51" s="16" t="s">
        <v>66</v>
      </c>
      <c r="L51" s="40" t="s">
        <v>67</v>
      </c>
      <c r="M51" s="17">
        <f>AG50</f>
        <v>7308.1198050952198</v>
      </c>
      <c r="N51" s="18">
        <f t="shared" si="1"/>
        <v>73.081198050952196</v>
      </c>
      <c r="O51" s="19">
        <v>0.01</v>
      </c>
      <c r="P51" s="20"/>
      <c r="Q51" s="26">
        <v>148.673</v>
      </c>
      <c r="R51" s="28">
        <v>148.75200000000001</v>
      </c>
      <c r="S51" s="21">
        <f>IF(R51="","",IF(K51="Long",Q51-R51,R51-Q51))</f>
        <v>7.9000000000007731E-2</v>
      </c>
      <c r="T51" s="22">
        <f t="shared" si="8"/>
        <v>73.081198050952196</v>
      </c>
      <c r="U51" s="27">
        <v>148.43600000000001</v>
      </c>
      <c r="V51" s="21">
        <f>IF(U51="","",IF(K51="Long",U51-Q51,Q51-U51))</f>
        <v>0.23699999999999477</v>
      </c>
      <c r="W51" s="23">
        <f t="shared" si="3"/>
        <v>219.2435941528303</v>
      </c>
      <c r="X51" s="24">
        <f t="shared" si="5"/>
        <v>2.9999999999996403</v>
      </c>
      <c r="Y51" s="12" t="s">
        <v>196</v>
      </c>
      <c r="Z51" s="28">
        <v>148.75200000000001</v>
      </c>
      <c r="AA51" s="25">
        <v>0</v>
      </c>
      <c r="AB51" s="25">
        <v>0</v>
      </c>
      <c r="AC51" s="25">
        <f t="shared" ref="AC51:AC56" si="10">-T51</f>
        <v>-73.081198050952196</v>
      </c>
      <c r="AD51" s="52">
        <f t="shared" si="6"/>
        <v>-73.081198050952196</v>
      </c>
      <c r="AE51" s="51">
        <f>IF(Z51="","",IF(K51="Long",Z51-Q51,Q51-Z51))</f>
        <v>-7.9000000000007731E-2</v>
      </c>
      <c r="AF51" s="53">
        <f>IF(AE51="","",AC51*O51/T51)</f>
        <v>-0.01</v>
      </c>
      <c r="AG51" s="135">
        <f>M51+AC51</f>
        <v>7235.0386070442673</v>
      </c>
      <c r="AH51" s="2"/>
      <c r="AI51" s="2"/>
      <c r="AJ51" s="2"/>
      <c r="AK51" s="2"/>
      <c r="AL51" s="2"/>
      <c r="BC51" s="30" t="s">
        <v>197</v>
      </c>
      <c r="BD51" s="7" t="str">
        <f t="shared" si="9"/>
        <v>Exotics</v>
      </c>
    </row>
    <row r="52" spans="1:56">
      <c r="A52" s="34"/>
      <c r="B52" s="141" t="s">
        <v>177</v>
      </c>
      <c r="C52" s="142">
        <v>47</v>
      </c>
      <c r="D52" s="11" t="s">
        <v>94</v>
      </c>
      <c r="E52" s="12" t="s">
        <v>198</v>
      </c>
      <c r="F52" s="13" t="s">
        <v>49</v>
      </c>
      <c r="G52" s="13" t="s">
        <v>74</v>
      </c>
      <c r="H52" s="29" t="s">
        <v>151</v>
      </c>
      <c r="I52" s="14" t="s">
        <v>64</v>
      </c>
      <c r="J52" s="15" t="s">
        <v>80</v>
      </c>
      <c r="K52" s="16" t="s">
        <v>66</v>
      </c>
      <c r="L52" s="40" t="s">
        <v>67</v>
      </c>
      <c r="M52" s="17">
        <f>AG51</f>
        <v>7235.0386070442673</v>
      </c>
      <c r="N52" s="18">
        <f t="shared" si="1"/>
        <v>72.350386070442681</v>
      </c>
      <c r="O52" s="19">
        <v>0.01</v>
      </c>
      <c r="P52" s="20"/>
      <c r="Q52" s="26">
        <v>1.85398</v>
      </c>
      <c r="R52" s="26">
        <v>1.85565</v>
      </c>
      <c r="S52" s="21">
        <f>IF(R52="","",IF(K52="Long",Q52-R52,R52-Q52))</f>
        <v>1.6700000000000603E-3</v>
      </c>
      <c r="T52" s="22">
        <f t="shared" si="8"/>
        <v>72.350386070442681</v>
      </c>
      <c r="U52" s="27">
        <v>1.8489500000000001</v>
      </c>
      <c r="V52" s="21">
        <f>IF(U52="","",IF(K52="Long",U52-Q52,Q52-U52))</f>
        <v>5.0299999999998679E-3</v>
      </c>
      <c r="W52" s="23">
        <f t="shared" si="3"/>
        <v>217.91762990078081</v>
      </c>
      <c r="X52" s="24">
        <f t="shared" si="5"/>
        <v>3.0119760479040036</v>
      </c>
      <c r="Y52" s="12" t="s">
        <v>198</v>
      </c>
      <c r="Z52" s="26">
        <v>1.85565</v>
      </c>
      <c r="AA52" s="25">
        <v>0</v>
      </c>
      <c r="AB52" s="25">
        <v>0</v>
      </c>
      <c r="AC52" s="25">
        <f t="shared" si="10"/>
        <v>-72.350386070442681</v>
      </c>
      <c r="AD52" s="52">
        <f t="shared" si="6"/>
        <v>-72.350386070442681</v>
      </c>
      <c r="AE52" s="51">
        <f>IF(Z52="","",IF(K52="Long",Z52-Q52,Q52-Z52))</f>
        <v>-1.6700000000000603E-3</v>
      </c>
      <c r="AF52" s="53">
        <f>IF(AE52="","",AC52*O52/T52)</f>
        <v>-0.01</v>
      </c>
      <c r="AG52" s="135">
        <f>M52+AC52</f>
        <v>7162.6882209738251</v>
      </c>
      <c r="AH52" s="2"/>
      <c r="AI52" s="2"/>
      <c r="AJ52" s="2"/>
      <c r="AK52" s="2"/>
      <c r="AL52" s="2"/>
      <c r="BC52" s="31" t="s">
        <v>199</v>
      </c>
      <c r="BD52" s="7" t="str">
        <f t="shared" si="9"/>
        <v>Exotics</v>
      </c>
    </row>
    <row r="53" spans="1:56">
      <c r="A53" s="34"/>
      <c r="B53" s="141" t="s">
        <v>177</v>
      </c>
      <c r="C53" s="142">
        <v>48</v>
      </c>
      <c r="D53" s="11" t="s">
        <v>94</v>
      </c>
      <c r="E53" s="12" t="s">
        <v>198</v>
      </c>
      <c r="F53" s="13" t="s">
        <v>49</v>
      </c>
      <c r="G53" s="13" t="s">
        <v>74</v>
      </c>
      <c r="H53" s="29" t="s">
        <v>63</v>
      </c>
      <c r="I53" s="14" t="s">
        <v>64</v>
      </c>
      <c r="J53" s="15" t="s">
        <v>80</v>
      </c>
      <c r="K53" s="16" t="s">
        <v>81</v>
      </c>
      <c r="L53" s="40" t="s">
        <v>67</v>
      </c>
      <c r="M53" s="17">
        <f>AG52</f>
        <v>7162.6882209738251</v>
      </c>
      <c r="N53" s="18">
        <f t="shared" si="1"/>
        <v>71.626882209738255</v>
      </c>
      <c r="O53" s="19">
        <v>0.01</v>
      </c>
      <c r="P53" s="20"/>
      <c r="Q53" s="26">
        <v>1.10256</v>
      </c>
      <c r="R53" s="28">
        <v>1.10189</v>
      </c>
      <c r="S53" s="21">
        <f>IF(R53="","",IF(K53="Long",Q53-R53,R53-Q53))</f>
        <v>6.6999999999994841E-4</v>
      </c>
      <c r="T53" s="22">
        <f t="shared" si="8"/>
        <v>71.626882209738255</v>
      </c>
      <c r="U53" s="27">
        <v>1.1045700000000001</v>
      </c>
      <c r="V53" s="21">
        <f>IF(U53="","",IF(K53="Long",U53-Q53,Q53-U53))</f>
        <v>2.0100000000000673E-3</v>
      </c>
      <c r="W53" s="23">
        <f t="shared" si="3"/>
        <v>214.8806466292385</v>
      </c>
      <c r="X53" s="24">
        <f t="shared" si="5"/>
        <v>3.0000000000003313</v>
      </c>
      <c r="Y53" s="12" t="s">
        <v>198</v>
      </c>
      <c r="Z53" s="28">
        <v>1.10249</v>
      </c>
      <c r="AA53" s="25">
        <v>0</v>
      </c>
      <c r="AB53" s="25">
        <v>0</v>
      </c>
      <c r="AC53" s="25">
        <f t="shared" si="10"/>
        <v>-71.626882209738255</v>
      </c>
      <c r="AD53" s="52">
        <f t="shared" si="6"/>
        <v>-71.626882209738255</v>
      </c>
      <c r="AE53" s="51">
        <f>IF(Z53="","",IF(K53="Long",Z53-Q53,Q53-Z53))</f>
        <v>-7.0000000000014495E-5</v>
      </c>
      <c r="AF53" s="53">
        <f>IF(AE53="","",AC53*O53/T53)</f>
        <v>-0.01</v>
      </c>
      <c r="AG53" s="135">
        <f>M53+AC53</f>
        <v>7091.0613387640869</v>
      </c>
      <c r="AH53" s="2"/>
      <c r="AI53" s="2"/>
      <c r="AJ53" s="2"/>
      <c r="AK53" s="2"/>
      <c r="AL53" s="2"/>
      <c r="BC53" s="30" t="s">
        <v>200</v>
      </c>
      <c r="BD53" s="7" t="str">
        <f t="shared" si="9"/>
        <v>Exotics</v>
      </c>
    </row>
    <row r="54" spans="1:56">
      <c r="A54" s="34"/>
      <c r="B54" s="141" t="s">
        <v>177</v>
      </c>
      <c r="C54" s="142">
        <v>49</v>
      </c>
      <c r="D54" s="11" t="s">
        <v>94</v>
      </c>
      <c r="E54" s="12" t="s">
        <v>201</v>
      </c>
      <c r="F54" s="13" t="s">
        <v>49</v>
      </c>
      <c r="G54" s="13" t="s">
        <v>56</v>
      </c>
      <c r="H54" s="29" t="s">
        <v>59</v>
      </c>
      <c r="I54" s="14" t="s">
        <v>64</v>
      </c>
      <c r="J54" s="15" t="s">
        <v>80</v>
      </c>
      <c r="K54" s="16" t="s">
        <v>81</v>
      </c>
      <c r="L54" s="40" t="s">
        <v>67</v>
      </c>
      <c r="M54" s="17">
        <f>AG53</f>
        <v>7091.0613387640869</v>
      </c>
      <c r="N54" s="18">
        <f t="shared" si="1"/>
        <v>70.910613387640865</v>
      </c>
      <c r="O54" s="19">
        <v>0.01</v>
      </c>
      <c r="P54" s="20"/>
      <c r="Q54" s="26">
        <v>1.09979</v>
      </c>
      <c r="R54" s="28">
        <v>1.0991899999999999</v>
      </c>
      <c r="S54" s="21">
        <f>IF(R54="","",IF(K54="Long",Q54-R54,R54-Q54))</f>
        <v>6.0000000000015596E-4</v>
      </c>
      <c r="T54" s="22">
        <f t="shared" si="8"/>
        <v>70.910613387640865</v>
      </c>
      <c r="U54" s="27">
        <v>1.1015900000000001</v>
      </c>
      <c r="V54" s="21">
        <f>IF(U54="","",IF(K54="Long",U54-Q54,Q54-U54))</f>
        <v>1.8000000000000238E-3</v>
      </c>
      <c r="W54" s="23">
        <f t="shared" si="3"/>
        <v>212.7318401628701</v>
      </c>
      <c r="X54" s="24">
        <f t="shared" si="5"/>
        <v>2.9999999999992597</v>
      </c>
      <c r="Y54" s="12" t="s">
        <v>201</v>
      </c>
      <c r="Z54" s="28">
        <v>1.0991899999999999</v>
      </c>
      <c r="AA54" s="25">
        <v>0</v>
      </c>
      <c r="AB54" s="25">
        <v>0</v>
      </c>
      <c r="AC54" s="25">
        <f t="shared" si="10"/>
        <v>-70.910613387640865</v>
      </c>
      <c r="AD54" s="52">
        <f t="shared" si="6"/>
        <v>-70.910613387640865</v>
      </c>
      <c r="AE54" s="51">
        <f>IF(Z54="","",IF(K54="Long",Z54-Q54,Q54-Z54))</f>
        <v>-6.0000000000015596E-4</v>
      </c>
      <c r="AF54" s="53">
        <f>IF(AE54="","",AC54*O54/T54)</f>
        <v>-0.01</v>
      </c>
      <c r="AG54" s="135">
        <f>M54+AC54</f>
        <v>7020.1507253764457</v>
      </c>
      <c r="AH54" s="2"/>
      <c r="AI54" s="2"/>
      <c r="AJ54" s="2"/>
      <c r="AK54" s="2"/>
      <c r="AL54" s="2"/>
      <c r="BC54" s="30" t="s">
        <v>202</v>
      </c>
      <c r="BD54" s="7" t="str">
        <f t="shared" si="9"/>
        <v>Exotics</v>
      </c>
    </row>
    <row r="55" spans="1:56">
      <c r="A55" s="34"/>
      <c r="B55" s="141" t="s">
        <v>177</v>
      </c>
      <c r="C55" s="142">
        <v>50</v>
      </c>
      <c r="D55" s="11" t="s">
        <v>94</v>
      </c>
      <c r="E55" s="12" t="s">
        <v>201</v>
      </c>
      <c r="F55" s="13" t="s">
        <v>62</v>
      </c>
      <c r="G55" s="13" t="s">
        <v>74</v>
      </c>
      <c r="H55" s="29" t="s">
        <v>153</v>
      </c>
      <c r="I55" s="14" t="s">
        <v>64</v>
      </c>
      <c r="J55" s="15" t="s">
        <v>80</v>
      </c>
      <c r="K55" s="16" t="s">
        <v>66</v>
      </c>
      <c r="L55" s="40" t="s">
        <v>67</v>
      </c>
      <c r="M55" s="17">
        <f>AG54</f>
        <v>7020.1507253764457</v>
      </c>
      <c r="N55" s="18">
        <f t="shared" si="1"/>
        <v>70.201507253764461</v>
      </c>
      <c r="O55" s="19">
        <v>0.01</v>
      </c>
      <c r="P55" s="20"/>
      <c r="Q55" s="26">
        <v>1.6769000000000001</v>
      </c>
      <c r="R55" s="28">
        <v>1.67838</v>
      </c>
      <c r="S55" s="21">
        <f>IF(R55="","",IF(K55="Long",Q55-R55,R55-Q55))</f>
        <v>1.4799999999999258E-3</v>
      </c>
      <c r="T55" s="22">
        <f t="shared" si="8"/>
        <v>70.201507253764461</v>
      </c>
      <c r="U55" s="27">
        <v>1.6724600000000001</v>
      </c>
      <c r="V55" s="21">
        <f>IF(U55="","",IF(K55="Long",U55-Q55,Q55-U55))</f>
        <v>4.4399999999999995E-3</v>
      </c>
      <c r="W55" s="23">
        <f t="shared" si="3"/>
        <v>210.60452176130391</v>
      </c>
      <c r="X55" s="24">
        <f t="shared" si="5"/>
        <v>3.0000000000001501</v>
      </c>
      <c r="Y55" s="12" t="s">
        <v>201</v>
      </c>
      <c r="Z55" s="28">
        <v>1.67838</v>
      </c>
      <c r="AA55" s="25">
        <v>0</v>
      </c>
      <c r="AB55" s="25">
        <v>0</v>
      </c>
      <c r="AC55" s="25">
        <f t="shared" si="10"/>
        <v>-70.201507253764461</v>
      </c>
      <c r="AD55" s="52">
        <f t="shared" si="6"/>
        <v>-70.201507253764461</v>
      </c>
      <c r="AE55" s="51">
        <f>IF(Z55="","",IF(K55="Long",Z55-Q55,Q55-Z55))</f>
        <v>-1.4799999999999258E-3</v>
      </c>
      <c r="AF55" s="53">
        <f>IF(AE55="","",AC55*O55/T55)</f>
        <v>-0.01</v>
      </c>
      <c r="AG55" s="135">
        <f>M55+AC55</f>
        <v>6949.9492181226815</v>
      </c>
      <c r="AH55" s="2"/>
      <c r="AI55" s="2"/>
      <c r="AJ55" s="2"/>
      <c r="AK55" s="2"/>
      <c r="AL55" s="2"/>
      <c r="BC55" s="31" t="s">
        <v>203</v>
      </c>
      <c r="BD55" s="7" t="str">
        <f t="shared" si="9"/>
        <v>Exotics</v>
      </c>
    </row>
    <row r="56" spans="1:56">
      <c r="A56" s="34"/>
      <c r="B56" s="141" t="s">
        <v>177</v>
      </c>
      <c r="C56" s="142">
        <v>51</v>
      </c>
      <c r="D56" s="11" t="s">
        <v>48</v>
      </c>
      <c r="E56" s="12" t="s">
        <v>204</v>
      </c>
      <c r="F56" s="13" t="s">
        <v>49</v>
      </c>
      <c r="G56" s="13" t="s">
        <v>74</v>
      </c>
      <c r="H56" s="29" t="s">
        <v>125</v>
      </c>
      <c r="I56" s="14" t="s">
        <v>64</v>
      </c>
      <c r="J56" s="15" t="s">
        <v>65</v>
      </c>
      <c r="K56" s="16" t="s">
        <v>66</v>
      </c>
      <c r="L56" s="40" t="s">
        <v>67</v>
      </c>
      <c r="M56" s="17">
        <f>AG55</f>
        <v>6949.9492181226815</v>
      </c>
      <c r="N56" s="18">
        <f t="shared" si="1"/>
        <v>69.499492181226813</v>
      </c>
      <c r="O56" s="19">
        <v>0.01</v>
      </c>
      <c r="P56" s="20"/>
      <c r="Q56" s="26">
        <v>95.465999999999994</v>
      </c>
      <c r="R56" s="28">
        <v>95.608999999999995</v>
      </c>
      <c r="S56" s="21">
        <f>IF(R56="","",IF(K56="Long",Q56-R56,R56-Q56))</f>
        <v>0.14300000000000068</v>
      </c>
      <c r="T56" s="22">
        <f t="shared" si="8"/>
        <v>69.499492181226813</v>
      </c>
      <c r="U56" s="27">
        <v>95.036000000000001</v>
      </c>
      <c r="V56" s="21">
        <f>IF(U56="","",IF(K56="Long",U56-Q56,Q56-U56))</f>
        <v>0.42999999999999261</v>
      </c>
      <c r="W56" s="23">
        <f t="shared" si="3"/>
        <v>208.98448697850961</v>
      </c>
      <c r="X56" s="24">
        <f t="shared" si="5"/>
        <v>3.0069930069929409</v>
      </c>
      <c r="Y56" s="12" t="s">
        <v>204</v>
      </c>
      <c r="Z56" s="28">
        <v>95.608999999999995</v>
      </c>
      <c r="AA56" s="25">
        <v>0</v>
      </c>
      <c r="AB56" s="25">
        <v>0</v>
      </c>
      <c r="AC56" s="25">
        <f t="shared" si="10"/>
        <v>-69.499492181226813</v>
      </c>
      <c r="AD56" s="52">
        <f t="shared" si="6"/>
        <v>-69.499492181226813</v>
      </c>
      <c r="AE56" s="51">
        <f>IF(Z56="","",IF(K56="Long",Z56-Q56,Q56-Z56))</f>
        <v>-0.14300000000000068</v>
      </c>
      <c r="AF56" s="53">
        <f>IF(AE56="","",AC56*O56/T56)</f>
        <v>-0.01</v>
      </c>
      <c r="AG56" s="135">
        <f>M56+AC56</f>
        <v>6880.4497259414547</v>
      </c>
      <c r="AH56" s="2"/>
      <c r="AI56" s="2"/>
      <c r="AJ56" s="2"/>
      <c r="AK56" s="2"/>
      <c r="AL56" s="2"/>
      <c r="BC56" s="30" t="s">
        <v>205</v>
      </c>
      <c r="BD56" s="7" t="str">
        <f t="shared" si="9"/>
        <v>Exotics</v>
      </c>
    </row>
    <row r="57" spans="1:56">
      <c r="A57" s="34"/>
      <c r="B57" s="141" t="s">
        <v>206</v>
      </c>
      <c r="C57" s="142">
        <v>52</v>
      </c>
      <c r="D57" s="11" t="s">
        <v>82</v>
      </c>
      <c r="E57" s="12" t="s">
        <v>207</v>
      </c>
      <c r="F57" s="13" t="s">
        <v>62</v>
      </c>
      <c r="G57" s="13" t="s">
        <v>74</v>
      </c>
      <c r="H57" s="29" t="s">
        <v>147</v>
      </c>
      <c r="I57" s="14" t="s">
        <v>64</v>
      </c>
      <c r="J57" s="15" t="s">
        <v>119</v>
      </c>
      <c r="K57" s="16" t="s">
        <v>66</v>
      </c>
      <c r="L57" s="40" t="s">
        <v>52</v>
      </c>
      <c r="M57" s="17">
        <f>AG56</f>
        <v>6880.4497259414547</v>
      </c>
      <c r="N57" s="18">
        <f t="shared" si="1"/>
        <v>68.804497259414546</v>
      </c>
      <c r="O57" s="19">
        <v>0.01</v>
      </c>
      <c r="P57" s="20"/>
      <c r="Q57" s="26">
        <v>0.85648999999999997</v>
      </c>
      <c r="R57" s="28">
        <v>0.85726000000000002</v>
      </c>
      <c r="S57" s="21">
        <f>IF(R57="","",IF(K57="Long",Q57-R57,R57-Q57))</f>
        <v>7.7000000000004842E-4</v>
      </c>
      <c r="T57" s="22">
        <f t="shared" si="8"/>
        <v>68.804497259414546</v>
      </c>
      <c r="U57" s="27">
        <v>0.85416999999999998</v>
      </c>
      <c r="V57" s="21">
        <f>IF(U57="","",IF(K57="Long",U57-Q57,Q57-U57))</f>
        <v>2.3199999999999887E-3</v>
      </c>
      <c r="W57" s="23">
        <f t="shared" si="3"/>
        <v>207.30705667770252</v>
      </c>
      <c r="X57" s="24">
        <f t="shared" si="5"/>
        <v>3.0129870129868088</v>
      </c>
      <c r="Y57" s="12" t="s">
        <v>207</v>
      </c>
      <c r="Z57" s="28">
        <v>0.85453999999999997</v>
      </c>
      <c r="AA57" s="25">
        <v>0</v>
      </c>
      <c r="AB57" s="25">
        <v>0</v>
      </c>
      <c r="AC57" s="25">
        <f>+W57</f>
        <v>207.30705667770252</v>
      </c>
      <c r="AD57" s="52">
        <f t="shared" si="6"/>
        <v>207.30705667770252</v>
      </c>
      <c r="AE57" s="51">
        <f>IF(Z57="","",IF(K57="Long",Z57-Q57,Q57-Z57))</f>
        <v>1.9500000000000073E-3</v>
      </c>
      <c r="AF57" s="53">
        <f>IF(AE57="","",AC57*O57/T57)</f>
        <v>3.0129870129868092E-2</v>
      </c>
      <c r="AG57" s="135">
        <f>M57+AC57</f>
        <v>7087.7567826191571</v>
      </c>
      <c r="AH57" s="2"/>
      <c r="AI57" s="2"/>
      <c r="AJ57" s="2"/>
      <c r="AK57" s="2"/>
      <c r="AL57" s="2"/>
      <c r="BC57" s="30" t="s">
        <v>208</v>
      </c>
      <c r="BD57" s="7" t="str">
        <f t="shared" si="9"/>
        <v>Exotics</v>
      </c>
    </row>
    <row r="58" spans="1:56">
      <c r="A58" s="34"/>
      <c r="B58" s="141" t="s">
        <v>206</v>
      </c>
      <c r="C58" s="142">
        <v>53</v>
      </c>
      <c r="D58" s="11" t="s">
        <v>102</v>
      </c>
      <c r="E58" s="12" t="s">
        <v>196</v>
      </c>
      <c r="F58" s="13" t="s">
        <v>49</v>
      </c>
      <c r="G58" s="13" t="s">
        <v>74</v>
      </c>
      <c r="H58" s="29" t="s">
        <v>144</v>
      </c>
      <c r="I58" s="14" t="s">
        <v>64</v>
      </c>
      <c r="J58" s="15" t="s">
        <v>80</v>
      </c>
      <c r="K58" s="16" t="s">
        <v>66</v>
      </c>
      <c r="L58" s="40" t="s">
        <v>209</v>
      </c>
      <c r="M58" s="17">
        <f>AG57</f>
        <v>7087.7567826191571</v>
      </c>
      <c r="N58" s="18">
        <f t="shared" si="1"/>
        <v>70.877567826191566</v>
      </c>
      <c r="O58" s="19">
        <v>0.01</v>
      </c>
      <c r="P58" s="20"/>
      <c r="Q58" s="26">
        <v>0.97416000000000003</v>
      </c>
      <c r="R58" s="28">
        <v>0.97450000000000003</v>
      </c>
      <c r="S58" s="21">
        <f>IF(R58="","",IF(K58="Long",Q58-R58,R58-Q58))</f>
        <v>3.4000000000000696E-4</v>
      </c>
      <c r="T58" s="22">
        <f t="shared" si="8"/>
        <v>70.877567826191566</v>
      </c>
      <c r="U58" s="27">
        <v>0.97321000000000002</v>
      </c>
      <c r="V58" s="21">
        <f>IF(U58="","",IF(K58="Long",U58-Q58,Q58-U58))</f>
        <v>9.5000000000000639E-4</v>
      </c>
      <c r="W58" s="23">
        <f t="shared" si="3"/>
        <v>198.04026304376782</v>
      </c>
      <c r="X58" s="24">
        <f t="shared" si="5"/>
        <v>2.7941176470587852</v>
      </c>
      <c r="Y58" s="12" t="s">
        <v>196</v>
      </c>
      <c r="Z58" s="28">
        <v>0.97411000000000003</v>
      </c>
      <c r="AA58" s="25">
        <v>0</v>
      </c>
      <c r="AB58" s="25">
        <v>0</v>
      </c>
      <c r="AC58" s="25">
        <f>+W58</f>
        <v>198.04026304376782</v>
      </c>
      <c r="AD58" s="52">
        <f t="shared" si="6"/>
        <v>198.04026304376782</v>
      </c>
      <c r="AE58" s="51">
        <f>IF(Z58="","",IF(K58="Long",Z58-Q58,Q58-Z58))</f>
        <v>4.9999999999994493E-5</v>
      </c>
      <c r="AF58" s="53">
        <f>IF(AE58="","",AC58*O58/T58)</f>
        <v>2.7941176470587852E-2</v>
      </c>
      <c r="AG58" s="135">
        <f>M58+AC58</f>
        <v>7285.7970456629246</v>
      </c>
      <c r="AH58" s="2"/>
      <c r="AI58" s="2"/>
      <c r="AJ58" s="2"/>
      <c r="AK58" s="2"/>
      <c r="AL58" s="2"/>
      <c r="BC58" s="30" t="s">
        <v>210</v>
      </c>
      <c r="BD58" s="7" t="str">
        <f t="shared" si="9"/>
        <v>Exotics</v>
      </c>
    </row>
    <row r="59" spans="1:56">
      <c r="A59" s="34"/>
      <c r="B59" s="141" t="s">
        <v>206</v>
      </c>
      <c r="C59" s="142">
        <v>54</v>
      </c>
      <c r="D59" s="11" t="s">
        <v>69</v>
      </c>
      <c r="E59" s="12" t="s">
        <v>211</v>
      </c>
      <c r="F59" s="13" t="s">
        <v>49</v>
      </c>
      <c r="G59" s="13" t="s">
        <v>74</v>
      </c>
      <c r="H59" s="29" t="s">
        <v>122</v>
      </c>
      <c r="I59" s="14" t="s">
        <v>64</v>
      </c>
      <c r="J59" s="15" t="s">
        <v>51</v>
      </c>
      <c r="K59" s="16" t="s">
        <v>66</v>
      </c>
      <c r="L59" s="40" t="s">
        <v>52</v>
      </c>
      <c r="M59" s="17">
        <f>AG58</f>
        <v>7285.7970456629246</v>
      </c>
      <c r="N59" s="18">
        <f t="shared" si="1"/>
        <v>72.857970456629246</v>
      </c>
      <c r="O59" s="19">
        <v>0.01</v>
      </c>
      <c r="P59" s="20"/>
      <c r="Q59" s="26">
        <v>0.59036</v>
      </c>
      <c r="R59" s="28">
        <v>0.60311000000000003</v>
      </c>
      <c r="S59" s="21">
        <f>IF(R59="","",IF(K59="Long",Q59-R59,R59-Q59))</f>
        <v>1.2750000000000039E-2</v>
      </c>
      <c r="T59" s="22">
        <f t="shared" si="8"/>
        <v>72.857970456629246</v>
      </c>
      <c r="U59" s="27">
        <v>0.55208999999999997</v>
      </c>
      <c r="V59" s="21">
        <f>IF(U59="","",IF(K59="Long",U59-Q59,Q59-U59))</f>
        <v>3.8270000000000026E-2</v>
      </c>
      <c r="W59" s="23">
        <f t="shared" si="3"/>
        <v>218.6881983823682</v>
      </c>
      <c r="X59" s="24">
        <f t="shared" si="5"/>
        <v>3.0015686274509732</v>
      </c>
      <c r="Y59" s="12" t="s">
        <v>211</v>
      </c>
      <c r="Z59" s="27">
        <v>0.55208999999999997</v>
      </c>
      <c r="AA59" s="25">
        <v>0</v>
      </c>
      <c r="AB59" s="25">
        <v>0</v>
      </c>
      <c r="AC59" s="25">
        <f>W59</f>
        <v>218.6881983823682</v>
      </c>
      <c r="AD59" s="52">
        <f t="shared" si="6"/>
        <v>218.6881983823682</v>
      </c>
      <c r="AE59" s="51">
        <f>IF(Z59="","",IF(K59="Long",Z59-Q59,Q59-Z59))</f>
        <v>3.8270000000000026E-2</v>
      </c>
      <c r="AF59" s="53">
        <f>IF(AE59="","",AC59*O59/T59)</f>
        <v>3.0015686274509734E-2</v>
      </c>
      <c r="AG59" s="135">
        <f>M59+AC59</f>
        <v>7504.4852440452923</v>
      </c>
      <c r="AH59" s="2"/>
      <c r="AI59" s="2"/>
      <c r="AJ59" s="2"/>
      <c r="AK59" s="2"/>
      <c r="AL59" s="2"/>
      <c r="BC59" s="30" t="s">
        <v>212</v>
      </c>
      <c r="BD59" s="7" t="str">
        <f t="shared" si="9"/>
        <v>Exotics</v>
      </c>
    </row>
    <row r="60" spans="1:56">
      <c r="A60" s="34"/>
      <c r="B60" s="141" t="s">
        <v>206</v>
      </c>
      <c r="C60" s="142">
        <v>55</v>
      </c>
      <c r="D60" s="11" t="s">
        <v>82</v>
      </c>
      <c r="E60" s="12" t="s">
        <v>211</v>
      </c>
      <c r="F60" s="13" t="s">
        <v>49</v>
      </c>
      <c r="G60" s="13" t="s">
        <v>74</v>
      </c>
      <c r="H60" s="29" t="s">
        <v>144</v>
      </c>
      <c r="I60" s="14" t="s">
        <v>64</v>
      </c>
      <c r="J60" s="15" t="s">
        <v>111</v>
      </c>
      <c r="K60" s="16" t="s">
        <v>66</v>
      </c>
      <c r="L60" s="40" t="s">
        <v>67</v>
      </c>
      <c r="M60" s="17">
        <f>AG59</f>
        <v>7504.4852440452923</v>
      </c>
      <c r="N60" s="18">
        <f t="shared" si="1"/>
        <v>75.044852440452928</v>
      </c>
      <c r="O60" s="19">
        <v>0.01</v>
      </c>
      <c r="P60" s="20"/>
      <c r="Q60" s="26">
        <v>0.96435999999999999</v>
      </c>
      <c r="R60" s="28">
        <v>0.96745000000000003</v>
      </c>
      <c r="S60" s="21">
        <f>IF(R60="","",IF(K60="Long",Q60-R60,R60-Q60))</f>
        <v>3.0900000000000372E-3</v>
      </c>
      <c r="T60" s="22">
        <f t="shared" si="8"/>
        <v>75.044852440452928</v>
      </c>
      <c r="U60" s="27">
        <v>0.95518000000000003</v>
      </c>
      <c r="V60" s="21">
        <f>IF(U60="","",IF(K60="Long",U60-Q60,Q60-U60))</f>
        <v>9.179999999999966E-3</v>
      </c>
      <c r="W60" s="23">
        <f t="shared" si="3"/>
        <v>222.94878492017705</v>
      </c>
      <c r="X60" s="24">
        <f t="shared" si="5"/>
        <v>2.9708737864077204</v>
      </c>
      <c r="Y60" s="12" t="s">
        <v>211</v>
      </c>
      <c r="Z60" s="28">
        <v>0.96745000000000003</v>
      </c>
      <c r="AA60" s="25">
        <v>0</v>
      </c>
      <c r="AB60" s="25">
        <v>0</v>
      </c>
      <c r="AC60" s="25">
        <f>-T60</f>
        <v>-75.044852440452928</v>
      </c>
      <c r="AD60" s="52">
        <f t="shared" si="6"/>
        <v>-75.044852440452928</v>
      </c>
      <c r="AE60" s="51">
        <f>IF(Z60="","",IF(K60="Long",Z60-Q60,Q60-Z60))</f>
        <v>-3.0900000000000372E-3</v>
      </c>
      <c r="AF60" s="53">
        <f>IF(AE60="","",AC60*O60/T60)</f>
        <v>-0.01</v>
      </c>
      <c r="AG60" s="135">
        <f>M60+AC60</f>
        <v>7429.4403916048395</v>
      </c>
      <c r="AH60" s="2"/>
      <c r="AI60" s="2"/>
      <c r="AJ60" s="2"/>
      <c r="AK60" s="2"/>
      <c r="AL60" s="2"/>
      <c r="BC60" s="30" t="s">
        <v>213</v>
      </c>
      <c r="BD60" s="7" t="str">
        <f t="shared" si="9"/>
        <v>Exotics</v>
      </c>
    </row>
    <row r="61" spans="1:56">
      <c r="A61" s="34"/>
      <c r="B61" s="141" t="s">
        <v>206</v>
      </c>
      <c r="C61" s="140">
        <v>56</v>
      </c>
      <c r="D61" s="11" t="s">
        <v>94</v>
      </c>
      <c r="E61" s="12" t="s">
        <v>211</v>
      </c>
      <c r="F61" s="13" t="s">
        <v>49</v>
      </c>
      <c r="G61" s="13" t="s">
        <v>74</v>
      </c>
      <c r="H61" s="29" t="s">
        <v>153</v>
      </c>
      <c r="I61" s="14" t="s">
        <v>64</v>
      </c>
      <c r="J61" s="15" t="s">
        <v>80</v>
      </c>
      <c r="K61" s="16" t="s">
        <v>66</v>
      </c>
      <c r="L61" s="40" t="s">
        <v>52</v>
      </c>
      <c r="M61" s="17">
        <f>AG60</f>
        <v>7429.4403916048395</v>
      </c>
      <c r="N61" s="18">
        <f t="shared" si="1"/>
        <v>74.294403916048395</v>
      </c>
      <c r="O61" s="19">
        <v>0.01</v>
      </c>
      <c r="P61" s="20"/>
      <c r="Q61" s="26">
        <v>1.6945300000000001</v>
      </c>
      <c r="R61" s="28">
        <v>1.6958500000000001</v>
      </c>
      <c r="S61" s="21">
        <f>IF(R61="","",IF(K61="Long",Q61-R61,R61-Q61))</f>
        <v>1.3199999999999878E-3</v>
      </c>
      <c r="T61" s="22">
        <f t="shared" si="8"/>
        <v>74.294403916048395</v>
      </c>
      <c r="U61" s="27">
        <v>1.6905699999999999</v>
      </c>
      <c r="V61" s="21">
        <f>IF(U61="","",IF(K61="Long",U61-Q61,Q61-U61))</f>
        <v>3.9600000000001856E-3</v>
      </c>
      <c r="W61" s="23">
        <f t="shared" si="3"/>
        <v>222.88321174815769</v>
      </c>
      <c r="X61" s="24">
        <f t="shared" si="5"/>
        <v>3.0000000000001683</v>
      </c>
      <c r="Y61" s="12" t="s">
        <v>211</v>
      </c>
      <c r="Z61" s="27">
        <v>1.6905699999999999</v>
      </c>
      <c r="AA61" s="25">
        <v>0</v>
      </c>
      <c r="AB61" s="25">
        <v>0</v>
      </c>
      <c r="AC61" s="25">
        <f>+W61</f>
        <v>222.88321174815769</v>
      </c>
      <c r="AD61" s="52">
        <f t="shared" si="6"/>
        <v>222.88321174815769</v>
      </c>
      <c r="AE61" s="51">
        <f>IF(Z61="","",IF(K61="Long",Z61-Q61,Q61-Z61))</f>
        <v>3.9600000000001856E-3</v>
      </c>
      <c r="AF61" s="53">
        <f>IF(AE61="","",AC61*O61/T61)</f>
        <v>3.0000000000001685E-2</v>
      </c>
      <c r="AG61" s="135">
        <f>M61+AC61</f>
        <v>7652.3236033529975</v>
      </c>
      <c r="AH61" s="2"/>
      <c r="AI61" s="2"/>
      <c r="AJ61" s="2"/>
      <c r="AK61" s="2"/>
      <c r="AL61" s="2"/>
      <c r="BC61" s="30" t="s">
        <v>214</v>
      </c>
      <c r="BD61" s="7" t="str">
        <f t="shared" si="9"/>
        <v>Exotics</v>
      </c>
    </row>
    <row r="62" spans="1:56">
      <c r="A62" s="34"/>
      <c r="B62" s="141" t="s">
        <v>206</v>
      </c>
      <c r="C62" s="142">
        <v>57</v>
      </c>
      <c r="D62" s="11" t="s">
        <v>102</v>
      </c>
      <c r="E62" s="12" t="s">
        <v>215</v>
      </c>
      <c r="F62" s="13" t="s">
        <v>62</v>
      </c>
      <c r="G62" s="13" t="s">
        <v>56</v>
      </c>
      <c r="H62" s="29" t="s">
        <v>155</v>
      </c>
      <c r="I62" s="14" t="s">
        <v>64</v>
      </c>
      <c r="J62" s="15" t="s">
        <v>65</v>
      </c>
      <c r="K62" s="16" t="s">
        <v>66</v>
      </c>
      <c r="L62" s="40" t="s">
        <v>209</v>
      </c>
      <c r="M62" s="17">
        <f>AG61</f>
        <v>7652.3236033529975</v>
      </c>
      <c r="N62" s="18">
        <f t="shared" si="1"/>
        <v>76.523236033529983</v>
      </c>
      <c r="O62" s="19">
        <v>0.01</v>
      </c>
      <c r="P62" s="20"/>
      <c r="Q62" s="26">
        <v>0.61928000000000005</v>
      </c>
      <c r="R62" s="28">
        <v>0.61967000000000005</v>
      </c>
      <c r="S62" s="21">
        <f>IF(R62="","",IF(K62="Long",Q62-R62,R62-Q62))</f>
        <v>3.9000000000000146E-4</v>
      </c>
      <c r="T62" s="22">
        <f t="shared" si="8"/>
        <v>76.523236033529983</v>
      </c>
      <c r="U62" s="27">
        <v>0.61807000000000001</v>
      </c>
      <c r="V62" s="21">
        <f>IF(U62="","",IF(K62="Long",U62-Q62,Q62-U62))</f>
        <v>1.2100000000000444E-3</v>
      </c>
      <c r="W62" s="23">
        <f t="shared" si="3"/>
        <v>237.41824512967776</v>
      </c>
      <c r="X62" s="24">
        <f t="shared" si="5"/>
        <v>3.1025641025642048</v>
      </c>
      <c r="Y62" s="12" t="s">
        <v>215</v>
      </c>
      <c r="Z62" s="27">
        <v>0.61807000000000001</v>
      </c>
      <c r="AA62" s="25">
        <v>0</v>
      </c>
      <c r="AB62" s="25">
        <v>0</v>
      </c>
      <c r="AC62" s="25">
        <f>+W62</f>
        <v>237.41824512967776</v>
      </c>
      <c r="AD62" s="52">
        <f t="shared" si="6"/>
        <v>237.41824512967776</v>
      </c>
      <c r="AE62" s="51">
        <f>IF(Z62="","",IF(K62="Long",Z62-Q62,Q62-Z62))</f>
        <v>1.2100000000000444E-3</v>
      </c>
      <c r="AF62" s="53">
        <f>IF(AE62="","",AC62*O62/T62)</f>
        <v>3.1025641025642047E-2</v>
      </c>
      <c r="AG62" s="135">
        <f>M62+AC62</f>
        <v>7889.7418484826749</v>
      </c>
      <c r="AH62" s="2"/>
      <c r="AI62" s="2"/>
      <c r="AJ62" s="2"/>
      <c r="AK62" s="2"/>
      <c r="AL62" s="2"/>
      <c r="BC62" s="31" t="s">
        <v>216</v>
      </c>
      <c r="BD62" s="7" t="str">
        <f t="shared" si="9"/>
        <v>Exotics</v>
      </c>
    </row>
    <row r="63" spans="1:56">
      <c r="A63" s="34"/>
      <c r="B63" s="141" t="s">
        <v>217</v>
      </c>
      <c r="C63" s="142">
        <v>58</v>
      </c>
      <c r="D63" s="11" t="s">
        <v>69</v>
      </c>
      <c r="E63" s="12" t="s">
        <v>218</v>
      </c>
      <c r="F63" s="13" t="s">
        <v>49</v>
      </c>
      <c r="G63" s="13" t="s">
        <v>74</v>
      </c>
      <c r="H63" s="29" t="s">
        <v>147</v>
      </c>
      <c r="I63" s="14" t="s">
        <v>64</v>
      </c>
      <c r="J63" s="15" t="s">
        <v>111</v>
      </c>
      <c r="K63" s="16" t="s">
        <v>66</v>
      </c>
      <c r="L63" s="40" t="s">
        <v>67</v>
      </c>
      <c r="M63" s="17">
        <f>AG62</f>
        <v>7889.7418484826749</v>
      </c>
      <c r="N63" s="18">
        <f t="shared" si="1"/>
        <v>78.897418484826744</v>
      </c>
      <c r="O63" s="19">
        <v>0.01</v>
      </c>
      <c r="P63" s="20"/>
      <c r="Q63" s="26">
        <v>0.85568999999999995</v>
      </c>
      <c r="R63" s="28">
        <v>0.85792999999999997</v>
      </c>
      <c r="S63" s="21">
        <f>IF(R63="","",IF(K63="Long",Q63-R63,R63-Q63))</f>
        <v>2.2400000000000198E-3</v>
      </c>
      <c r="T63" s="22">
        <f t="shared" si="8"/>
        <v>78.897418484826744</v>
      </c>
      <c r="U63" s="27">
        <v>0.84897</v>
      </c>
      <c r="V63" s="21">
        <f>IF(U63="","",IF(K63="Long",U63-Q63,Q63-U63))</f>
        <v>6.7199999999999482E-3</v>
      </c>
      <c r="W63" s="23">
        <f t="shared" si="3"/>
        <v>236.69225545447631</v>
      </c>
      <c r="X63" s="24">
        <f t="shared" si="5"/>
        <v>2.9999999999999503</v>
      </c>
      <c r="Y63" s="12" t="s">
        <v>218</v>
      </c>
      <c r="Z63" s="28">
        <v>0.85792999999999997</v>
      </c>
      <c r="AA63" s="25">
        <v>0</v>
      </c>
      <c r="AB63" s="25">
        <v>0</v>
      </c>
      <c r="AC63" s="25">
        <f>-T63</f>
        <v>-78.897418484826744</v>
      </c>
      <c r="AD63" s="52">
        <f t="shared" si="6"/>
        <v>-78.897418484826744</v>
      </c>
      <c r="AE63" s="51">
        <f>IF(Z63="","",IF(K63="Long",Z63-Q63,Q63-Z63))</f>
        <v>-2.2400000000000198E-3</v>
      </c>
      <c r="AF63" s="53">
        <f>IF(AE63="","",AC63*O63/T63)</f>
        <v>-0.01</v>
      </c>
      <c r="AG63" s="135">
        <f>M63+AC63</f>
        <v>7810.8444299978482</v>
      </c>
      <c r="AH63" s="2"/>
      <c r="AI63" s="2"/>
      <c r="AJ63" s="2"/>
      <c r="AK63" s="2"/>
      <c r="AL63" s="2"/>
      <c r="BC63" s="30" t="s">
        <v>219</v>
      </c>
      <c r="BD63" s="7" t="str">
        <f t="shared" si="9"/>
        <v>Exotics</v>
      </c>
    </row>
    <row r="64" spans="1:56">
      <c r="A64" s="34"/>
      <c r="B64" s="141" t="s">
        <v>217</v>
      </c>
      <c r="C64" s="142">
        <v>59</v>
      </c>
      <c r="D64" s="11" t="s">
        <v>102</v>
      </c>
      <c r="E64" s="12" t="s">
        <v>220</v>
      </c>
      <c r="F64" s="13" t="s">
        <v>49</v>
      </c>
      <c r="G64" s="13" t="s">
        <v>56</v>
      </c>
      <c r="H64" s="29" t="s">
        <v>79</v>
      </c>
      <c r="I64" s="14" t="s">
        <v>64</v>
      </c>
      <c r="J64" s="15" t="s">
        <v>80</v>
      </c>
      <c r="K64" s="16" t="s">
        <v>66</v>
      </c>
      <c r="L64" s="40" t="s">
        <v>67</v>
      </c>
      <c r="M64" s="17">
        <f>AG63</f>
        <v>7810.8444299978482</v>
      </c>
      <c r="N64" s="18">
        <f t="shared" si="1"/>
        <v>78.108444299978487</v>
      </c>
      <c r="O64" s="19">
        <v>0.01</v>
      </c>
      <c r="P64" s="20"/>
      <c r="Q64" s="26">
        <v>1.2699100000000001</v>
      </c>
      <c r="R64" s="28">
        <v>1.2706299999999999</v>
      </c>
      <c r="S64" s="21">
        <f>IF(R64="","",IF(K64="Long",Q64-R64,R64-Q64))</f>
        <v>7.1999999999983189E-4</v>
      </c>
      <c r="T64" s="22">
        <f t="shared" si="8"/>
        <v>78.108444299978487</v>
      </c>
      <c r="U64" s="27">
        <v>1.2677499999999999</v>
      </c>
      <c r="V64" s="21">
        <f>IF(U64="","",IF(K64="Long",U64-Q64,Q64-U64))</f>
        <v>2.1600000000001618E-3</v>
      </c>
      <c r="W64" s="23">
        <f t="shared" si="3"/>
        <v>234.32533290000771</v>
      </c>
      <c r="X64" s="24">
        <f t="shared" si="5"/>
        <v>3.000000000000925</v>
      </c>
      <c r="Y64" s="12" t="s">
        <v>220</v>
      </c>
      <c r="Z64" s="28">
        <v>1.2706299999999999</v>
      </c>
      <c r="AA64" s="25">
        <v>0</v>
      </c>
      <c r="AB64" s="25">
        <v>0</v>
      </c>
      <c r="AC64" s="25">
        <f>-T64</f>
        <v>-78.108444299978487</v>
      </c>
      <c r="AD64" s="52">
        <f t="shared" si="6"/>
        <v>-78.108444299978487</v>
      </c>
      <c r="AE64" s="51">
        <f>IF(Z64="","",IF(K64="Long",Z64-Q64,Q64-Z64))</f>
        <v>-7.1999999999983189E-4</v>
      </c>
      <c r="AF64" s="53">
        <f>IF(AE64="","",AC64*O64/T64)</f>
        <v>-0.01</v>
      </c>
      <c r="AG64" s="135">
        <f>M64+AC64</f>
        <v>7732.7359856978701</v>
      </c>
      <c r="AH64" s="2"/>
      <c r="AI64" s="2"/>
      <c r="AJ64" s="2"/>
      <c r="AK64" s="2"/>
      <c r="AL64" s="2"/>
      <c r="BC64" s="30" t="s">
        <v>221</v>
      </c>
      <c r="BD64" s="7" t="str">
        <f t="shared" si="9"/>
        <v>Exotics</v>
      </c>
    </row>
    <row r="65" spans="1:56">
      <c r="A65" s="34"/>
      <c r="B65" s="141" t="s">
        <v>217</v>
      </c>
      <c r="C65" s="142">
        <v>60</v>
      </c>
      <c r="D65" s="11" t="s">
        <v>48</v>
      </c>
      <c r="E65" s="12" t="s">
        <v>222</v>
      </c>
      <c r="F65" s="13" t="s">
        <v>49</v>
      </c>
      <c r="G65" s="13" t="s">
        <v>88</v>
      </c>
      <c r="H65" s="29" t="s">
        <v>187</v>
      </c>
      <c r="I65" s="14" t="s">
        <v>64</v>
      </c>
      <c r="J65" s="15" t="s">
        <v>96</v>
      </c>
      <c r="K65" s="16" t="s">
        <v>66</v>
      </c>
      <c r="L65" s="40" t="s">
        <v>67</v>
      </c>
      <c r="M65" s="17">
        <f>AG64</f>
        <v>7732.7359856978701</v>
      </c>
      <c r="N65" s="18">
        <f t="shared" si="1"/>
        <v>77.327359856978703</v>
      </c>
      <c r="O65" s="19">
        <v>0.01</v>
      </c>
      <c r="P65" s="20"/>
      <c r="Q65" s="26">
        <v>12.969250000000001</v>
      </c>
      <c r="R65" s="28">
        <v>13.112450000000001</v>
      </c>
      <c r="S65" s="21">
        <f>IF(R65="","",IF(K65="Long",Q65-R65,R65-Q65))</f>
        <v>0.14320000000000022</v>
      </c>
      <c r="T65" s="22">
        <f t="shared" si="8"/>
        <v>77.327359856978703</v>
      </c>
      <c r="U65" s="27">
        <v>12.539429999999999</v>
      </c>
      <c r="V65" s="21">
        <f>IF(U65="","",IF(K65="Long",U65-Q65,Q65-U65))</f>
        <v>0.4298200000000012</v>
      </c>
      <c r="W65" s="23">
        <f t="shared" si="3"/>
        <v>232.10087858747647</v>
      </c>
      <c r="X65" s="24">
        <f t="shared" si="5"/>
        <v>3.0015363128491659</v>
      </c>
      <c r="Y65" s="12" t="s">
        <v>222</v>
      </c>
      <c r="Z65" s="28">
        <v>13.112450000000001</v>
      </c>
      <c r="AA65" s="25">
        <v>0</v>
      </c>
      <c r="AB65" s="25">
        <v>0</v>
      </c>
      <c r="AC65" s="25">
        <f>-T65</f>
        <v>-77.327359856978703</v>
      </c>
      <c r="AD65" s="52">
        <f t="shared" si="6"/>
        <v>-77.327359856978703</v>
      </c>
      <c r="AE65" s="51">
        <f>IF(Z65="","",IF(K65="Long",Z65-Q65,Q65-Z65))</f>
        <v>-0.14320000000000022</v>
      </c>
      <c r="AF65" s="53">
        <f>IF(AE65="","",AC65*O65/T65)</f>
        <v>-0.01</v>
      </c>
      <c r="AG65" s="135">
        <f>M65+AC65</f>
        <v>7655.4086258408915</v>
      </c>
      <c r="AH65" s="2"/>
      <c r="AI65" s="2"/>
      <c r="AJ65" s="2"/>
      <c r="AK65" s="2"/>
      <c r="AL65" s="2"/>
      <c r="BC65" s="6" t="s">
        <v>223</v>
      </c>
      <c r="BD65" s="7" t="str">
        <f t="shared" si="9"/>
        <v>Exotics</v>
      </c>
    </row>
    <row r="66" spans="1:56">
      <c r="A66" s="34"/>
      <c r="B66" s="141" t="s">
        <v>217</v>
      </c>
      <c r="C66" s="142">
        <v>61</v>
      </c>
      <c r="D66" s="11" t="s">
        <v>69</v>
      </c>
      <c r="E66" s="12" t="s">
        <v>222</v>
      </c>
      <c r="F66" s="13" t="s">
        <v>49</v>
      </c>
      <c r="G66" s="13" t="s">
        <v>74</v>
      </c>
      <c r="H66" s="29" t="s">
        <v>122</v>
      </c>
      <c r="I66" s="14" t="s">
        <v>64</v>
      </c>
      <c r="J66" s="15" t="s">
        <v>65</v>
      </c>
      <c r="K66" s="16" t="s">
        <v>66</v>
      </c>
      <c r="L66" s="40" t="s">
        <v>67</v>
      </c>
      <c r="M66" s="17">
        <f>AG65</f>
        <v>7655.4086258408915</v>
      </c>
      <c r="N66" s="18">
        <f t="shared" si="1"/>
        <v>76.554086258408915</v>
      </c>
      <c r="O66" s="19">
        <v>0.01</v>
      </c>
      <c r="P66" s="20"/>
      <c r="Q66" s="26">
        <v>0.56962999999999997</v>
      </c>
      <c r="R66" s="28">
        <v>0.5706</v>
      </c>
      <c r="S66" s="21">
        <f>IF(R66="","",IF(K66="Long",Q66-R66,R66-Q66))</f>
        <v>9.700000000000264E-4</v>
      </c>
      <c r="T66" s="22">
        <f t="shared" si="8"/>
        <v>76.554086258408915</v>
      </c>
      <c r="U66" s="27">
        <v>0.56672</v>
      </c>
      <c r="V66" s="21">
        <f>IF(U66="","",IF(K66="Long",U66-Q66,Q66-U66))</f>
        <v>2.9099999999999682E-3</v>
      </c>
      <c r="W66" s="23">
        <f t="shared" si="3"/>
        <v>229.66225877521796</v>
      </c>
      <c r="X66" s="24">
        <f t="shared" si="5"/>
        <v>2.9999999999998854</v>
      </c>
      <c r="Y66" s="12" t="s">
        <v>222</v>
      </c>
      <c r="Z66" s="28">
        <v>0.5706</v>
      </c>
      <c r="AA66" s="25">
        <v>0</v>
      </c>
      <c r="AB66" s="25">
        <v>0</v>
      </c>
      <c r="AC66" s="25">
        <f>-T66</f>
        <v>-76.554086258408915</v>
      </c>
      <c r="AD66" s="52">
        <f t="shared" si="6"/>
        <v>-76.554086258408915</v>
      </c>
      <c r="AE66" s="51">
        <f>IF(Z66="","",IF(K66="Long",Z66-Q66,Q66-Z66))</f>
        <v>-9.700000000000264E-4</v>
      </c>
      <c r="AF66" s="53">
        <f>IF(AE66="","",AC66*O66/T66)</f>
        <v>-0.01</v>
      </c>
      <c r="AG66" s="135">
        <f>M66+AC66</f>
        <v>7578.8545395824822</v>
      </c>
      <c r="AH66" s="2"/>
      <c r="AI66" s="2"/>
      <c r="AJ66" s="2"/>
      <c r="AK66" s="2"/>
      <c r="AL66" s="2"/>
      <c r="BC66" s="6" t="s">
        <v>224</v>
      </c>
      <c r="BD66" s="33" t="str">
        <f t="shared" ref="BD66:BD76" si="11">$AV$9</f>
        <v>Commod</v>
      </c>
    </row>
    <row r="67" spans="1:56">
      <c r="A67" s="34"/>
      <c r="B67" s="141" t="s">
        <v>217</v>
      </c>
      <c r="C67" s="142">
        <v>62</v>
      </c>
      <c r="D67" s="11" t="s">
        <v>48</v>
      </c>
      <c r="E67" s="12" t="s">
        <v>225</v>
      </c>
      <c r="F67" s="13" t="s">
        <v>62</v>
      </c>
      <c r="G67" s="13" t="s">
        <v>74</v>
      </c>
      <c r="H67" s="29" t="s">
        <v>93</v>
      </c>
      <c r="I67" s="14" t="s">
        <v>64</v>
      </c>
      <c r="J67" s="15" t="s">
        <v>134</v>
      </c>
      <c r="K67" s="16" t="s">
        <v>68</v>
      </c>
      <c r="L67" s="40" t="s">
        <v>67</v>
      </c>
      <c r="M67" s="17">
        <f>AG66</f>
        <v>7578.8545395824822</v>
      </c>
      <c r="N67" s="18">
        <f t="shared" si="1"/>
        <v>75.788545395824826</v>
      </c>
      <c r="O67" s="19">
        <v>0.01</v>
      </c>
      <c r="P67" s="20"/>
      <c r="Q67" s="26">
        <v>107.953</v>
      </c>
      <c r="R67" s="28">
        <v>107.899</v>
      </c>
      <c r="S67" s="21">
        <f>IF(R67="","",IF(K67="Long",Q67-R67,R67-Q67))</f>
        <v>5.4000000000002046E-2</v>
      </c>
      <c r="T67" s="22">
        <f t="shared" si="8"/>
        <v>75.788545395824826</v>
      </c>
      <c r="U67" s="27">
        <v>108.116</v>
      </c>
      <c r="V67" s="21">
        <f>IF(U67="","",IF(K67="Long",U67-Q67,Q67-U67))</f>
        <v>0.1629999999999967</v>
      </c>
      <c r="W67" s="23">
        <f t="shared" si="3"/>
        <v>228.76912776886536</v>
      </c>
      <c r="X67" s="24">
        <f t="shared" si="5"/>
        <v>3.0185185185183432</v>
      </c>
      <c r="Y67" s="12" t="s">
        <v>225</v>
      </c>
      <c r="Z67" s="28">
        <v>107.899</v>
      </c>
      <c r="AA67" s="25">
        <v>0</v>
      </c>
      <c r="AB67" s="25">
        <v>0</v>
      </c>
      <c r="AC67" s="25">
        <f>-T67</f>
        <v>-75.788545395824826</v>
      </c>
      <c r="AD67" s="52">
        <f t="shared" si="6"/>
        <v>-75.788545395824826</v>
      </c>
      <c r="AE67" s="51">
        <f>IF(Z67="","",IF(K67="Long",Z67-Q67,Q67-Z67))</f>
        <v>-5.4000000000002046E-2</v>
      </c>
      <c r="AF67" s="53">
        <f>IF(AE67="","",AC67*O67/T67)</f>
        <v>-0.01</v>
      </c>
      <c r="AG67" s="135">
        <f>M67+AC67</f>
        <v>7503.065994186657</v>
      </c>
      <c r="AH67" s="2"/>
      <c r="AI67" s="2"/>
      <c r="AJ67" s="2"/>
      <c r="AK67" s="2"/>
      <c r="AL67" s="2"/>
      <c r="BC67" s="6" t="s">
        <v>226</v>
      </c>
      <c r="BD67" s="33" t="str">
        <f t="shared" si="11"/>
        <v>Commod</v>
      </c>
    </row>
    <row r="68" spans="1:56">
      <c r="A68" s="34"/>
      <c r="B68" s="141" t="s">
        <v>217</v>
      </c>
      <c r="C68" s="142">
        <v>63</v>
      </c>
      <c r="D68" s="11" t="s">
        <v>82</v>
      </c>
      <c r="E68" s="12" t="s">
        <v>227</v>
      </c>
      <c r="F68" s="13" t="s">
        <v>49</v>
      </c>
      <c r="G68" s="13" t="s">
        <v>74</v>
      </c>
      <c r="H68" s="29" t="s">
        <v>93</v>
      </c>
      <c r="I68" s="14" t="s">
        <v>64</v>
      </c>
      <c r="J68" s="15" t="s">
        <v>65</v>
      </c>
      <c r="K68" s="16" t="s">
        <v>81</v>
      </c>
      <c r="L68" s="40" t="s">
        <v>52</v>
      </c>
      <c r="M68" s="17">
        <f>AG67</f>
        <v>7503.065994186657</v>
      </c>
      <c r="N68" s="18">
        <f t="shared" si="1"/>
        <v>75.030659941866574</v>
      </c>
      <c r="O68" s="19">
        <v>0.01</v>
      </c>
      <c r="P68" s="20"/>
      <c r="Q68" s="26">
        <v>107.771</v>
      </c>
      <c r="R68" s="28">
        <v>107.68300000000001</v>
      </c>
      <c r="S68" s="21">
        <f>IF(R68="","",IF(K68="Long",Q68-R68,R68-Q68))</f>
        <v>8.7999999999993861E-2</v>
      </c>
      <c r="T68" s="22">
        <f t="shared" si="8"/>
        <v>75.030659941866574</v>
      </c>
      <c r="U68" s="27">
        <v>108.035</v>
      </c>
      <c r="V68" s="21">
        <f>IF(U68="","",IF(K68="Long",U68-Q68,Q68-U68))</f>
        <v>0.26399999999999579</v>
      </c>
      <c r="W68" s="23">
        <f t="shared" si="3"/>
        <v>225.09197982561184</v>
      </c>
      <c r="X68" s="24">
        <f t="shared" si="5"/>
        <v>3.0000000000001616</v>
      </c>
      <c r="Y68" s="12" t="s">
        <v>227</v>
      </c>
      <c r="Z68" s="28">
        <v>107.905</v>
      </c>
      <c r="AA68" s="25">
        <v>0</v>
      </c>
      <c r="AB68" s="25">
        <v>0</v>
      </c>
      <c r="AC68" s="25">
        <f>W68</f>
        <v>225.09197982561184</v>
      </c>
      <c r="AD68" s="52">
        <f t="shared" si="6"/>
        <v>225.09197982561184</v>
      </c>
      <c r="AE68" s="51">
        <f>IF(Z68="","",IF(K68="Long",Z68-Q68,Q68-Z68))</f>
        <v>0.13400000000000034</v>
      </c>
      <c r="AF68" s="53">
        <f>IF(AE68="","",AC68*O68/T68)</f>
        <v>3.0000000000001619E-2</v>
      </c>
      <c r="AG68" s="135">
        <f>M68+AC68</f>
        <v>7728.1579740122688</v>
      </c>
      <c r="AH68" s="2"/>
      <c r="AI68" s="2"/>
      <c r="AJ68" s="2"/>
      <c r="AK68" s="2"/>
      <c r="AL68" s="2"/>
      <c r="BC68" s="6" t="s">
        <v>228</v>
      </c>
      <c r="BD68" s="33" t="str">
        <f t="shared" si="11"/>
        <v>Commod</v>
      </c>
    </row>
    <row r="69" spans="1:56">
      <c r="A69" s="34"/>
      <c r="B69" s="141" t="s">
        <v>217</v>
      </c>
      <c r="C69" s="142">
        <v>64</v>
      </c>
      <c r="D69" s="11" t="s">
        <v>82</v>
      </c>
      <c r="E69" s="12" t="s">
        <v>227</v>
      </c>
      <c r="F69" s="13" t="s">
        <v>49</v>
      </c>
      <c r="G69" s="13" t="s">
        <v>74</v>
      </c>
      <c r="H69" s="29" t="s">
        <v>93</v>
      </c>
      <c r="I69" s="14" t="s">
        <v>64</v>
      </c>
      <c r="J69" s="15" t="s">
        <v>134</v>
      </c>
      <c r="K69" s="16" t="s">
        <v>81</v>
      </c>
      <c r="L69" s="40" t="s">
        <v>67</v>
      </c>
      <c r="M69" s="17">
        <f>AG68</f>
        <v>7728.1579740122688</v>
      </c>
      <c r="N69" s="18">
        <f t="shared" si="1"/>
        <v>77.281579740122694</v>
      </c>
      <c r="O69" s="19">
        <v>0.01</v>
      </c>
      <c r="P69" s="20"/>
      <c r="Q69" s="26">
        <v>107.949</v>
      </c>
      <c r="R69" s="28">
        <v>107.907</v>
      </c>
      <c r="S69" s="21">
        <f>IF(R69="","",IF(K69="Long",Q69-R69,R69-Q69))</f>
        <v>4.2000000000001592E-2</v>
      </c>
      <c r="T69" s="22">
        <f t="shared" si="8"/>
        <v>77.281579740122694</v>
      </c>
      <c r="U69" s="27">
        <v>108.075</v>
      </c>
      <c r="V69" s="21">
        <f>IF(U69="","",IF(K69="Long",U69-Q69,Q69-U69))</f>
        <v>0.12600000000000477</v>
      </c>
      <c r="W69" s="23">
        <f t="shared" si="3"/>
        <v>231.84473922036807</v>
      </c>
      <c r="X69" s="24">
        <f t="shared" si="5"/>
        <v>3</v>
      </c>
      <c r="Y69" s="12" t="s">
        <v>227</v>
      </c>
      <c r="Z69" s="28">
        <v>107.907</v>
      </c>
      <c r="AA69" s="25">
        <v>0</v>
      </c>
      <c r="AB69" s="25">
        <v>0</v>
      </c>
      <c r="AC69" s="25">
        <f>-T69</f>
        <v>-77.281579740122694</v>
      </c>
      <c r="AD69" s="52">
        <f t="shared" si="6"/>
        <v>-77.281579740122694</v>
      </c>
      <c r="AE69" s="51">
        <f>IF(Z69="","",IF(K69="Long",Z69-Q69,Q69-Z69))</f>
        <v>-4.2000000000001592E-2</v>
      </c>
      <c r="AF69" s="53">
        <f>IF(AE69="","",AC69*O69/T69)</f>
        <v>-0.01</v>
      </c>
      <c r="AG69" s="135">
        <f>M69+AC69</f>
        <v>7650.8763942721462</v>
      </c>
      <c r="AH69" s="2"/>
      <c r="AI69" s="2"/>
      <c r="AJ69" s="2"/>
      <c r="AK69" s="2"/>
      <c r="AL69" s="2"/>
      <c r="BC69" s="6" t="s">
        <v>229</v>
      </c>
      <c r="BD69" s="33" t="str">
        <f t="shared" si="11"/>
        <v>Commod</v>
      </c>
    </row>
    <row r="70" spans="1:56">
      <c r="A70" s="34"/>
      <c r="B70" s="141" t="s">
        <v>217</v>
      </c>
      <c r="C70" s="142">
        <v>65</v>
      </c>
      <c r="D70" s="11" t="s">
        <v>82</v>
      </c>
      <c r="E70" s="12" t="s">
        <v>227</v>
      </c>
      <c r="F70" s="13" t="s">
        <v>49</v>
      </c>
      <c r="G70" s="13" t="s">
        <v>74</v>
      </c>
      <c r="H70" s="29" t="s">
        <v>93</v>
      </c>
      <c r="I70" s="14" t="s">
        <v>64</v>
      </c>
      <c r="J70" s="15" t="s">
        <v>65</v>
      </c>
      <c r="K70" s="16" t="s">
        <v>81</v>
      </c>
      <c r="L70" s="40" t="s">
        <v>67</v>
      </c>
      <c r="M70" s="17">
        <f>AG69</f>
        <v>7650.8763942721462</v>
      </c>
      <c r="N70" s="18">
        <f t="shared" ref="N70:N133" si="12">IF(M70="","",O70*M70/100%)</f>
        <v>76.508763942721458</v>
      </c>
      <c r="O70" s="19">
        <v>0.01</v>
      </c>
      <c r="P70" s="20"/>
      <c r="Q70" s="26">
        <v>107.95</v>
      </c>
      <c r="R70" s="28">
        <v>107.872</v>
      </c>
      <c r="S70" s="21">
        <f>IF(R70="","",IF(K70="Long",Q70-R70,R70-Q70))</f>
        <v>7.8000000000002956E-2</v>
      </c>
      <c r="T70" s="22">
        <f t="shared" si="8"/>
        <v>76.508763942721458</v>
      </c>
      <c r="U70" s="27">
        <v>108.184</v>
      </c>
      <c r="V70" s="21">
        <f>IF(U70="","",IF(K70="Long",U70-Q70,Q70-U70))</f>
        <v>0.23399999999999466</v>
      </c>
      <c r="W70" s="23">
        <f t="shared" ref="W70:W133" si="13">IF(X70="","",X70*T70/1)</f>
        <v>229.52629182815045</v>
      </c>
      <c r="X70" s="24">
        <f t="shared" si="5"/>
        <v>2.9999999999998179</v>
      </c>
      <c r="Y70" s="12" t="s">
        <v>227</v>
      </c>
      <c r="Z70" s="28">
        <v>107.872</v>
      </c>
      <c r="AA70" s="25">
        <v>0</v>
      </c>
      <c r="AB70" s="25">
        <v>0</v>
      </c>
      <c r="AC70" s="25">
        <f>-T70</f>
        <v>-76.508763942721458</v>
      </c>
      <c r="AD70" s="52">
        <f t="shared" si="6"/>
        <v>-76.508763942721458</v>
      </c>
      <c r="AE70" s="51">
        <f>IF(Z70="","",IF(K70="Long",Z70-Q70,Q70-Z70))</f>
        <v>-7.8000000000002956E-2</v>
      </c>
      <c r="AF70" s="53">
        <f>IF(AE70="","",AC70*O70/T70)</f>
        <v>-0.01</v>
      </c>
      <c r="AG70" s="135">
        <f>M70+AC70</f>
        <v>7574.3676303294251</v>
      </c>
      <c r="AH70" s="2"/>
      <c r="AI70" s="2"/>
      <c r="AJ70" s="2"/>
      <c r="AK70" s="2"/>
      <c r="AL70" s="2"/>
      <c r="BC70" s="6" t="s">
        <v>230</v>
      </c>
      <c r="BD70" s="33" t="str">
        <f t="shared" si="11"/>
        <v>Commod</v>
      </c>
    </row>
    <row r="71" spans="1:56">
      <c r="A71" s="34"/>
      <c r="B71" s="143" t="s">
        <v>217</v>
      </c>
      <c r="C71" s="140">
        <v>66</v>
      </c>
      <c r="D71" s="11" t="s">
        <v>94</v>
      </c>
      <c r="E71" s="12" t="s">
        <v>231</v>
      </c>
      <c r="F71" s="13" t="s">
        <v>49</v>
      </c>
      <c r="G71" s="13" t="s">
        <v>56</v>
      </c>
      <c r="H71" s="29" t="s">
        <v>79</v>
      </c>
      <c r="I71" s="14" t="s">
        <v>64</v>
      </c>
      <c r="J71" s="15" t="s">
        <v>134</v>
      </c>
      <c r="K71" s="16" t="s">
        <v>66</v>
      </c>
      <c r="L71" s="40" t="s">
        <v>67</v>
      </c>
      <c r="M71" s="17">
        <f>AG70</f>
        <v>7574.3676303294251</v>
      </c>
      <c r="N71" s="18">
        <f t="shared" si="12"/>
        <v>75.743676303294251</v>
      </c>
      <c r="O71" s="19">
        <v>0.01</v>
      </c>
      <c r="P71" s="20"/>
      <c r="Q71" s="26">
        <v>1.2675399999999999</v>
      </c>
      <c r="R71" s="28">
        <v>1.2681100000000001</v>
      </c>
      <c r="S71" s="21">
        <f>IF(R71="","",IF(K71="Long",Q71-R71,R71-Q71))</f>
        <v>5.7000000000018147E-4</v>
      </c>
      <c r="T71" s="22">
        <f t="shared" si="8"/>
        <v>75.743676303294251</v>
      </c>
      <c r="U71" s="27">
        <v>1.26583</v>
      </c>
      <c r="V71" s="21">
        <f>IF(U71="","",IF(K71="Long",U71-Q71,Q71-U71))</f>
        <v>1.7099999999998783E-3</v>
      </c>
      <c r="W71" s="23">
        <f t="shared" si="13"/>
        <v>227.23102890979422</v>
      </c>
      <c r="X71" s="24">
        <f t="shared" ref="X71:X82" si="14">IF(V71="","",V71*1/S71)</f>
        <v>2.9999999999988312</v>
      </c>
      <c r="Y71" s="12" t="s">
        <v>231</v>
      </c>
      <c r="Z71" s="28">
        <v>1.2681100000000001</v>
      </c>
      <c r="AA71" s="25">
        <v>0</v>
      </c>
      <c r="AB71" s="25">
        <v>0</v>
      </c>
      <c r="AC71" s="25">
        <f>-T71</f>
        <v>-75.743676303294251</v>
      </c>
      <c r="AD71" s="52">
        <f t="shared" ref="AD71:AD82" si="15">IF(AC71="","",AC71+AB71+AA71)</f>
        <v>-75.743676303294251</v>
      </c>
      <c r="AE71" s="51">
        <f>IF(Z71="","",IF(K71="Long",Z71-Q71,Q71-Z71))</f>
        <v>-5.7000000000018147E-4</v>
      </c>
      <c r="AF71" s="53">
        <f>IF(AE71="","",AC71*O71/T71)</f>
        <v>-0.01</v>
      </c>
      <c r="AG71" s="135">
        <f>M71+AC71</f>
        <v>7498.6239540261304</v>
      </c>
      <c r="AH71" s="2"/>
      <c r="AI71" s="2"/>
      <c r="AJ71" s="2"/>
      <c r="AK71" s="2"/>
      <c r="AL71" s="2"/>
      <c r="BC71" s="6" t="s">
        <v>232</v>
      </c>
      <c r="BD71" s="33" t="str">
        <f t="shared" si="11"/>
        <v>Commod</v>
      </c>
    </row>
    <row r="72" spans="1:56">
      <c r="A72" s="34"/>
      <c r="B72" s="143" t="s">
        <v>233</v>
      </c>
      <c r="C72" s="142">
        <v>67</v>
      </c>
      <c r="D72" s="11" t="s">
        <v>94</v>
      </c>
      <c r="E72" s="12" t="s">
        <v>234</v>
      </c>
      <c r="F72" s="13" t="s">
        <v>49</v>
      </c>
      <c r="G72" s="13" t="s">
        <v>74</v>
      </c>
      <c r="H72" s="29" t="s">
        <v>125</v>
      </c>
      <c r="I72" s="14" t="s">
        <v>64</v>
      </c>
      <c r="J72" s="15" t="s">
        <v>51</v>
      </c>
      <c r="K72" s="16" t="s">
        <v>68</v>
      </c>
      <c r="L72" s="40" t="s">
        <v>52</v>
      </c>
      <c r="M72" s="17">
        <f>AG71</f>
        <v>7498.6239540261304</v>
      </c>
      <c r="N72" s="18">
        <f t="shared" si="12"/>
        <v>74.986239540261309</v>
      </c>
      <c r="O72" s="19">
        <v>0.01</v>
      </c>
      <c r="P72" s="20"/>
      <c r="Q72" s="26">
        <v>94.933999999999997</v>
      </c>
      <c r="R72" s="28">
        <v>94.337000000000003</v>
      </c>
      <c r="S72" s="21">
        <f>IF(R72="","",IF(K72="Long",Q72-R72,R72-Q72))</f>
        <v>0.5969999999999942</v>
      </c>
      <c r="T72" s="22">
        <f t="shared" si="8"/>
        <v>74.986239540261309</v>
      </c>
      <c r="U72" s="27">
        <v>96.716999999999999</v>
      </c>
      <c r="V72" s="21">
        <f>IF(U72="","",IF(K72="Long",U72-Q72,Q72-U72))</f>
        <v>1.7830000000000013</v>
      </c>
      <c r="W72" s="23">
        <f t="shared" si="13"/>
        <v>223.95387788992849</v>
      </c>
      <c r="X72" s="24">
        <f t="shared" si="14"/>
        <v>2.986599664991656</v>
      </c>
      <c r="Y72" s="12" t="s">
        <v>234</v>
      </c>
      <c r="Z72" s="27">
        <v>96.716999999999999</v>
      </c>
      <c r="AA72" s="25">
        <v>10.7</v>
      </c>
      <c r="AB72" s="25">
        <v>86.37</v>
      </c>
      <c r="AC72" s="25">
        <f>W72</f>
        <v>223.95387788992849</v>
      </c>
      <c r="AD72" s="52">
        <f t="shared" si="15"/>
        <v>321.02387788992849</v>
      </c>
      <c r="AE72" s="51">
        <f>IF(Z72="","",IF(K72="Long",Z72-Q72,Q72-Z72))</f>
        <v>1.7830000000000013</v>
      </c>
      <c r="AF72" s="53">
        <f>IF(AE72="","",AC72*O72/T72)</f>
        <v>2.9865996649916564E-2</v>
      </c>
      <c r="AG72" s="135">
        <f>M72+AC72</f>
        <v>7722.577831916059</v>
      </c>
      <c r="AH72" s="2"/>
      <c r="AI72" s="2"/>
      <c r="AJ72" s="2"/>
      <c r="AK72" s="2"/>
      <c r="AL72" s="2"/>
      <c r="BC72" s="6" t="s">
        <v>235</v>
      </c>
      <c r="BD72" s="33" t="str">
        <f t="shared" si="11"/>
        <v>Commod</v>
      </c>
    </row>
    <row r="73" spans="1:56">
      <c r="A73" s="34"/>
      <c r="B73" s="143" t="s">
        <v>236</v>
      </c>
      <c r="C73" s="142">
        <v>68</v>
      </c>
      <c r="D73" s="11" t="s">
        <v>69</v>
      </c>
      <c r="E73" s="12" t="s">
        <v>237</v>
      </c>
      <c r="F73" s="13" t="s">
        <v>83</v>
      </c>
      <c r="G73" s="13" t="s">
        <v>104</v>
      </c>
      <c r="H73" s="29" t="s">
        <v>238</v>
      </c>
      <c r="I73" s="14" t="s">
        <v>64</v>
      </c>
      <c r="J73" s="15" t="s">
        <v>85</v>
      </c>
      <c r="K73" s="16" t="s">
        <v>47</v>
      </c>
      <c r="L73" s="40" t="s">
        <v>67</v>
      </c>
      <c r="M73" s="17">
        <f>AG72</f>
        <v>7722.577831916059</v>
      </c>
      <c r="N73" s="18">
        <f t="shared" si="12"/>
        <v>77.225778319160597</v>
      </c>
      <c r="O73" s="19">
        <v>0.01</v>
      </c>
      <c r="P73" s="20"/>
      <c r="Q73" s="28">
        <v>5.4859999999999998</v>
      </c>
      <c r="R73" s="28">
        <v>5.7439999999999998</v>
      </c>
      <c r="S73" s="21">
        <f>IF(R73="","",IF(K73="Long",Q73-R73,R73-Q73))</f>
        <v>0.25800000000000001</v>
      </c>
      <c r="T73" s="22">
        <f t="shared" si="8"/>
        <v>77.225778319160597</v>
      </c>
      <c r="U73" s="27">
        <v>4.7119999999999997</v>
      </c>
      <c r="V73" s="21">
        <f>IF(U73="","",IF(K73="Long",U73-Q73,Q73-U73))</f>
        <v>0.77400000000000002</v>
      </c>
      <c r="W73" s="23">
        <f t="shared" si="13"/>
        <v>231.67733495748178</v>
      </c>
      <c r="X73" s="24">
        <f t="shared" si="14"/>
        <v>3</v>
      </c>
      <c r="Y73" s="12" t="s">
        <v>237</v>
      </c>
      <c r="Z73" s="28">
        <v>5.7439999999999998</v>
      </c>
      <c r="AA73" s="25">
        <v>0</v>
      </c>
      <c r="AB73" s="25">
        <v>0</v>
      </c>
      <c r="AC73" s="25">
        <f>-T73</f>
        <v>-77.225778319160597</v>
      </c>
      <c r="AD73" s="52">
        <f t="shared" si="15"/>
        <v>-77.225778319160597</v>
      </c>
      <c r="AE73" s="51">
        <f>IF(Z73="","",IF(K73="Long",Z73-Q73,Q73-Z73))</f>
        <v>-0.25800000000000001</v>
      </c>
      <c r="AF73" s="53">
        <f>IF(AE73="","",AC73*O73/T73)</f>
        <v>-0.01</v>
      </c>
      <c r="AG73" s="135">
        <f>M73+AC73</f>
        <v>7645.3520535968983</v>
      </c>
      <c r="AH73" s="2"/>
      <c r="AI73" s="2"/>
      <c r="AJ73" s="2"/>
      <c r="AK73" s="2"/>
      <c r="AL73" s="2"/>
      <c r="BC73" s="6" t="s">
        <v>239</v>
      </c>
      <c r="BD73" s="33" t="str">
        <f t="shared" si="11"/>
        <v>Commod</v>
      </c>
    </row>
    <row r="74" spans="1:56">
      <c r="A74" s="34"/>
      <c r="B74" s="143" t="s">
        <v>236</v>
      </c>
      <c r="C74" s="142">
        <v>69</v>
      </c>
      <c r="D74" s="11" t="s">
        <v>94</v>
      </c>
      <c r="E74" s="12" t="s">
        <v>240</v>
      </c>
      <c r="F74" s="13" t="s">
        <v>83</v>
      </c>
      <c r="G74" s="13" t="s">
        <v>104</v>
      </c>
      <c r="H74" s="29" t="s">
        <v>238</v>
      </c>
      <c r="I74" s="14" t="s">
        <v>64</v>
      </c>
      <c r="J74" s="15" t="s">
        <v>85</v>
      </c>
      <c r="K74" s="16" t="s">
        <v>47</v>
      </c>
      <c r="L74" s="40" t="s">
        <v>67</v>
      </c>
      <c r="M74" s="17">
        <f>AG73</f>
        <v>7645.3520535968983</v>
      </c>
      <c r="N74" s="18">
        <f t="shared" si="12"/>
        <v>76.453520535968991</v>
      </c>
      <c r="O74" s="19">
        <v>0.01</v>
      </c>
      <c r="P74" s="20"/>
      <c r="Q74" s="26">
        <v>5.5250000000000004</v>
      </c>
      <c r="R74" s="28">
        <v>5.6319999999999997</v>
      </c>
      <c r="S74" s="21">
        <f>IF(R74="","",IF(K74="Long",Q74-R74,R74-Q74))</f>
        <v>0.10699999999999932</v>
      </c>
      <c r="T74" s="22">
        <f t="shared" si="8"/>
        <v>76.453520535968991</v>
      </c>
      <c r="U74" s="27">
        <v>5.2039999999999997</v>
      </c>
      <c r="V74" s="21">
        <f>IF(U74="","",IF(K74="Long",U74-Q74,Q74-U74))</f>
        <v>0.32100000000000062</v>
      </c>
      <c r="W74" s="23">
        <f t="shared" si="13"/>
        <v>229.36056160790886</v>
      </c>
      <c r="X74" s="24">
        <f t="shared" si="14"/>
        <v>3.0000000000000249</v>
      </c>
      <c r="Y74" s="12" t="s">
        <v>240</v>
      </c>
      <c r="Z74" s="28">
        <v>5.6319999999999997</v>
      </c>
      <c r="AA74" s="25">
        <v>0</v>
      </c>
      <c r="AB74" s="25">
        <v>0</v>
      </c>
      <c r="AC74" s="25">
        <f>-T74</f>
        <v>-76.453520535968991</v>
      </c>
      <c r="AD74" s="52">
        <f t="shared" si="15"/>
        <v>-76.453520535968991</v>
      </c>
      <c r="AE74" s="51">
        <f>IF(Z74="","",IF(K74="Long",Z74-Q74,Q74-Z74))</f>
        <v>-0.10699999999999932</v>
      </c>
      <c r="AF74" s="53">
        <f>IF(AE74="","",AC74*O74/T74)</f>
        <v>-0.01</v>
      </c>
      <c r="AG74" s="135">
        <f>M74+AC74</f>
        <v>7568.8985330609294</v>
      </c>
      <c r="AH74" s="2"/>
      <c r="AI74" s="2"/>
      <c r="AJ74" s="2"/>
      <c r="AK74" s="2"/>
      <c r="AL74" s="2"/>
      <c r="BC74" s="6" t="s">
        <v>241</v>
      </c>
      <c r="BD74" s="33" t="str">
        <f t="shared" si="11"/>
        <v>Commod</v>
      </c>
    </row>
    <row r="75" spans="1:56">
      <c r="A75" s="34"/>
      <c r="B75" s="143" t="s">
        <v>242</v>
      </c>
      <c r="C75" s="142">
        <v>70</v>
      </c>
      <c r="D75" s="11" t="s">
        <v>69</v>
      </c>
      <c r="E75" s="12" t="s">
        <v>243</v>
      </c>
      <c r="F75" s="13" t="s">
        <v>49</v>
      </c>
      <c r="G75" s="13" t="s">
        <v>74</v>
      </c>
      <c r="H75" s="29" t="s">
        <v>142</v>
      </c>
      <c r="I75" s="14" t="s">
        <v>64</v>
      </c>
      <c r="J75" s="15" t="s">
        <v>103</v>
      </c>
      <c r="K75" s="16" t="s">
        <v>68</v>
      </c>
      <c r="L75" s="40" t="s">
        <v>52</v>
      </c>
      <c r="M75" s="17">
        <f>AG74</f>
        <v>7568.8985330609294</v>
      </c>
      <c r="N75" s="18">
        <f t="shared" si="12"/>
        <v>75.688985330609299</v>
      </c>
      <c r="O75" s="19">
        <v>0.01</v>
      </c>
      <c r="P75" s="20"/>
      <c r="Q75" s="26">
        <v>1.4695199999999999</v>
      </c>
      <c r="R75" s="28">
        <v>1.46411</v>
      </c>
      <c r="S75" s="21">
        <f>IF(R75="","",IF(K75="Long",Q75-R75,R75-Q75))</f>
        <v>5.4099999999999149E-3</v>
      </c>
      <c r="T75" s="22">
        <f t="shared" si="8"/>
        <v>75.688985330609299</v>
      </c>
      <c r="U75" s="27">
        <v>1.48573</v>
      </c>
      <c r="V75" s="21">
        <f>IF(U75="","",IF(K75="Long",U75-Q75,Q75-U75))</f>
        <v>1.6210000000000058E-2</v>
      </c>
      <c r="W75" s="23">
        <f t="shared" si="13"/>
        <v>226.78714458580413</v>
      </c>
      <c r="X75" s="24">
        <f t="shared" si="14"/>
        <v>2.996303142329078</v>
      </c>
      <c r="Y75" s="12" t="s">
        <v>243</v>
      </c>
      <c r="Z75" s="27">
        <v>1.48573</v>
      </c>
      <c r="AA75" s="25">
        <v>0</v>
      </c>
      <c r="AB75" s="25">
        <v>0</v>
      </c>
      <c r="AC75" s="25">
        <f>U75</f>
        <v>1.48573</v>
      </c>
      <c r="AD75" s="52">
        <f t="shared" si="15"/>
        <v>1.48573</v>
      </c>
      <c r="AE75" s="51">
        <f>IF(Z75="","",IF(K75="Long",Z75-Q75,Q75-Z75))</f>
        <v>1.6210000000000058E-2</v>
      </c>
      <c r="AF75" s="53">
        <f>IF(AE75="","",AC75*O75/T75)</f>
        <v>1.9629408341389901E-4</v>
      </c>
      <c r="AG75" s="135">
        <f>M75+AC75</f>
        <v>7570.3842630609297</v>
      </c>
      <c r="AH75" s="2"/>
      <c r="AI75" s="2"/>
      <c r="AJ75" s="2"/>
      <c r="AK75" s="2"/>
      <c r="AL75" s="2"/>
      <c r="BC75" s="6" t="s">
        <v>244</v>
      </c>
      <c r="BD75" s="33" t="str">
        <f t="shared" si="11"/>
        <v>Commod</v>
      </c>
    </row>
    <row r="76" spans="1:56">
      <c r="A76" s="34"/>
      <c r="B76" s="141" t="s">
        <v>233</v>
      </c>
      <c r="C76" s="142">
        <v>71</v>
      </c>
      <c r="D76" s="11" t="s">
        <v>102</v>
      </c>
      <c r="E76" s="12" t="s">
        <v>245</v>
      </c>
      <c r="F76" s="13" t="s">
        <v>49</v>
      </c>
      <c r="G76" s="13" t="s">
        <v>88</v>
      </c>
      <c r="H76" s="29" t="s">
        <v>180</v>
      </c>
      <c r="I76" s="14" t="s">
        <v>64</v>
      </c>
      <c r="J76" s="15" t="s">
        <v>103</v>
      </c>
      <c r="K76" s="16" t="s">
        <v>68</v>
      </c>
      <c r="L76" s="40" t="s">
        <v>67</v>
      </c>
      <c r="M76" s="17">
        <f>AG75</f>
        <v>7570.3842630609297</v>
      </c>
      <c r="N76" s="18">
        <f t="shared" si="12"/>
        <v>75.703842630609302</v>
      </c>
      <c r="O76" s="19">
        <v>0.01</v>
      </c>
      <c r="P76" s="20"/>
      <c r="Q76" s="26">
        <v>1.4637100000000001</v>
      </c>
      <c r="R76" s="26">
        <v>1.4597899999999999</v>
      </c>
      <c r="S76" s="21">
        <f>IF(R76="","",IF(K76="Long",Q76-R76,R76-Q76))</f>
        <v>3.9200000000001456E-3</v>
      </c>
      <c r="T76" s="22">
        <f t="shared" si="8"/>
        <v>75.703842630609302</v>
      </c>
      <c r="U76" s="27">
        <v>1.4754700000000001</v>
      </c>
      <c r="V76" s="21">
        <f>IF(U76="","",IF(K76="Long",U76-Q76,Q76-U76))</f>
        <v>1.1759999999999993E-2</v>
      </c>
      <c r="W76" s="23">
        <f t="shared" si="13"/>
        <v>227.11152789181932</v>
      </c>
      <c r="X76" s="24">
        <f t="shared" si="14"/>
        <v>2.9999999999998868</v>
      </c>
      <c r="Y76" s="12" t="s">
        <v>245</v>
      </c>
      <c r="Z76" s="26">
        <v>1.4597899999999999</v>
      </c>
      <c r="AA76" s="25">
        <v>0</v>
      </c>
      <c r="AB76" s="25">
        <v>0</v>
      </c>
      <c r="AC76" s="25">
        <f>-T76</f>
        <v>-75.703842630609302</v>
      </c>
      <c r="AD76" s="52">
        <f t="shared" si="15"/>
        <v>-75.703842630609302</v>
      </c>
      <c r="AE76" s="51">
        <f>IF(Z76="","",IF(K76="Long",Z76-Q76,Q76-Z76))</f>
        <v>-3.9200000000001456E-3</v>
      </c>
      <c r="AF76" s="53">
        <f>IF(AE76="","",AC76*O76/T76)</f>
        <v>-0.01</v>
      </c>
      <c r="AG76" s="135">
        <f>M76+AC76</f>
        <v>7494.6804204303207</v>
      </c>
      <c r="AH76" s="2"/>
      <c r="AI76" s="2"/>
      <c r="AJ76" s="2"/>
      <c r="AK76" s="2"/>
      <c r="AL76" s="2"/>
      <c r="BC76" s="6" t="s">
        <v>246</v>
      </c>
      <c r="BD76" s="33" t="str">
        <f t="shared" si="11"/>
        <v>Commod</v>
      </c>
    </row>
    <row r="77" spans="1:56">
      <c r="A77" s="34"/>
      <c r="B77" s="144" t="s">
        <v>233</v>
      </c>
      <c r="C77" s="142">
        <v>72</v>
      </c>
      <c r="D77" s="11" t="s">
        <v>48</v>
      </c>
      <c r="E77" s="12" t="s">
        <v>245</v>
      </c>
      <c r="F77" s="13" t="s">
        <v>49</v>
      </c>
      <c r="G77" s="13" t="s">
        <v>74</v>
      </c>
      <c r="H77" s="29" t="s">
        <v>120</v>
      </c>
      <c r="I77" s="14" t="s">
        <v>64</v>
      </c>
      <c r="J77" s="15" t="s">
        <v>111</v>
      </c>
      <c r="K77" s="16" t="s">
        <v>68</v>
      </c>
      <c r="L77" s="40" t="s">
        <v>67</v>
      </c>
      <c r="M77" s="17">
        <f>AG76</f>
        <v>7494.6804204303207</v>
      </c>
      <c r="N77" s="18">
        <f t="shared" si="12"/>
        <v>74.946804204303206</v>
      </c>
      <c r="O77" s="19">
        <v>0.01</v>
      </c>
      <c r="P77" s="20"/>
      <c r="Q77" s="26">
        <v>0.89980000000000004</v>
      </c>
      <c r="R77" s="28">
        <v>0.89639999999999997</v>
      </c>
      <c r="S77" s="21">
        <f>IF(R77="","",IF(K77="Long",Q77-R77,R77-Q77))</f>
        <v>3.4000000000000696E-3</v>
      </c>
      <c r="T77" s="22">
        <f t="shared" si="8"/>
        <v>74.946804204303206</v>
      </c>
      <c r="U77" s="27">
        <v>0.90991</v>
      </c>
      <c r="V77" s="21">
        <f>IF(U77="","",IF(K77="Long",U77-Q77,Q77-U77))</f>
        <v>1.0109999999999952E-2</v>
      </c>
      <c r="W77" s="23">
        <f t="shared" si="13"/>
        <v>222.85652661926068</v>
      </c>
      <c r="X77" s="24">
        <f t="shared" si="14"/>
        <v>2.9735294117646309</v>
      </c>
      <c r="Y77" s="12" t="s">
        <v>245</v>
      </c>
      <c r="Z77" s="28">
        <v>0.89639999999999997</v>
      </c>
      <c r="AA77" s="25">
        <v>0</v>
      </c>
      <c r="AB77" s="25">
        <v>0</v>
      </c>
      <c r="AC77" s="25">
        <f>-T77</f>
        <v>-74.946804204303206</v>
      </c>
      <c r="AD77" s="52">
        <f t="shared" si="15"/>
        <v>-74.946804204303206</v>
      </c>
      <c r="AE77" s="51">
        <f>IF(Z77="","",IF(K77="Long",Z77-Q77,Q77-Z77))</f>
        <v>-3.4000000000000696E-3</v>
      </c>
      <c r="AF77" s="53">
        <f>IF(AE77="","",AC77*O77/T77)</f>
        <v>-0.01</v>
      </c>
      <c r="AG77" s="135">
        <f>M77+AC77</f>
        <v>7419.7336162260171</v>
      </c>
      <c r="AH77" s="2"/>
      <c r="AI77" s="2"/>
      <c r="AJ77" s="2"/>
      <c r="AK77" s="2"/>
      <c r="AL77" s="2"/>
      <c r="BC77" s="6" t="s">
        <v>247</v>
      </c>
      <c r="BD77" s="33" t="s">
        <v>248</v>
      </c>
    </row>
    <row r="78" spans="1:56">
      <c r="A78" s="34"/>
      <c r="B78" s="144" t="s">
        <v>233</v>
      </c>
      <c r="C78" s="142">
        <v>73</v>
      </c>
      <c r="D78" s="11" t="s">
        <v>48</v>
      </c>
      <c r="E78" s="12" t="s">
        <v>245</v>
      </c>
      <c r="F78" s="13" t="s">
        <v>62</v>
      </c>
      <c r="G78" s="13" t="s">
        <v>88</v>
      </c>
      <c r="H78" s="29" t="s">
        <v>174</v>
      </c>
      <c r="I78" s="14" t="s">
        <v>64</v>
      </c>
      <c r="J78" s="15" t="s">
        <v>111</v>
      </c>
      <c r="K78" s="16" t="s">
        <v>47</v>
      </c>
      <c r="L78" s="40" t="s">
        <v>67</v>
      </c>
      <c r="M78" s="17">
        <f>AG77</f>
        <v>7419.7336162260171</v>
      </c>
      <c r="N78" s="18">
        <f t="shared" si="12"/>
        <v>74.197336162260171</v>
      </c>
      <c r="O78" s="19">
        <v>0.01</v>
      </c>
      <c r="P78" s="20"/>
      <c r="Q78" s="26">
        <v>11.673579999999999</v>
      </c>
      <c r="R78" s="28">
        <v>11.756019999999999</v>
      </c>
      <c r="S78" s="21">
        <f>IF(R78="","",IF(K78="Long",Q78-R78,R78-Q78))</f>
        <v>8.2440000000000069E-2</v>
      </c>
      <c r="T78" s="22">
        <f t="shared" ref="T78:T89" si="16">IF(S78="","",N78)</f>
        <v>74.197336162260171</v>
      </c>
      <c r="U78" s="27">
        <v>11.483309999999999</v>
      </c>
      <c r="V78" s="21">
        <f>IF(U78="","",IF(K78="Long",U78-Q78,Q78-U78))</f>
        <v>0.19026999999999994</v>
      </c>
      <c r="W78" s="23">
        <f t="shared" si="13"/>
        <v>171.24608383786057</v>
      </c>
      <c r="X78" s="24">
        <f t="shared" si="14"/>
        <v>2.3079815623483717</v>
      </c>
      <c r="Y78" s="12" t="s">
        <v>245</v>
      </c>
      <c r="Z78" s="28">
        <v>11.756019999999999</v>
      </c>
      <c r="AA78" s="25">
        <v>0</v>
      </c>
      <c r="AB78" s="25">
        <v>0</v>
      </c>
      <c r="AC78" s="25">
        <f>-T78</f>
        <v>-74.197336162260171</v>
      </c>
      <c r="AD78" s="52">
        <f t="shared" si="15"/>
        <v>-74.197336162260171</v>
      </c>
      <c r="AE78" s="51">
        <f>IF(Z78="","",IF(K78="Long",Z78-Q78,Q78-Z78))</f>
        <v>-8.2440000000000069E-2</v>
      </c>
      <c r="AF78" s="53">
        <f>IF(AE78="","",AC78*O78/T78)</f>
        <v>-0.01</v>
      </c>
      <c r="AG78" s="135">
        <f>M78+AC78</f>
        <v>7345.5362800637567</v>
      </c>
      <c r="AH78" s="2"/>
      <c r="AI78" s="2"/>
      <c r="AJ78" s="2"/>
      <c r="AK78" s="2"/>
      <c r="AL78" s="2"/>
      <c r="BC78" s="6" t="s">
        <v>249</v>
      </c>
      <c r="BD78" s="33" t="s">
        <v>250</v>
      </c>
    </row>
    <row r="79" spans="1:56">
      <c r="A79" s="34"/>
      <c r="B79" s="143" t="s">
        <v>242</v>
      </c>
      <c r="C79" s="142">
        <v>74</v>
      </c>
      <c r="D79" s="11" t="s">
        <v>82</v>
      </c>
      <c r="E79" s="12" t="s">
        <v>251</v>
      </c>
      <c r="F79" s="13" t="s">
        <v>49</v>
      </c>
      <c r="G79" s="13" t="s">
        <v>104</v>
      </c>
      <c r="H79" s="29" t="s">
        <v>241</v>
      </c>
      <c r="I79" s="14" t="s">
        <v>64</v>
      </c>
      <c r="J79" s="15" t="s">
        <v>96</v>
      </c>
      <c r="K79" s="16" t="s">
        <v>68</v>
      </c>
      <c r="L79" s="40" t="s">
        <v>52</v>
      </c>
      <c r="M79" s="17">
        <f>AG78</f>
        <v>7345.5362800637567</v>
      </c>
      <c r="N79" s="18">
        <f t="shared" si="12"/>
        <v>73.455362800637573</v>
      </c>
      <c r="O79" s="19">
        <v>0.01</v>
      </c>
      <c r="P79" s="20"/>
      <c r="Q79" s="26">
        <v>1993.6759999999999</v>
      </c>
      <c r="R79" s="28">
        <v>1982.6510000000001</v>
      </c>
      <c r="S79" s="21">
        <f>IF(R79="","",IF(K79="Long",Q79-R79,R79-Q79))</f>
        <v>11.024999999999864</v>
      </c>
      <c r="T79" s="22">
        <f t="shared" si="16"/>
        <v>73.455362800637573</v>
      </c>
      <c r="U79" s="27">
        <v>2026.8810000000001</v>
      </c>
      <c r="V79" s="21">
        <f>IF(U79="","",IF(K79="Long",U79-Q79,Q79-U79))</f>
        <v>33.205000000000155</v>
      </c>
      <c r="W79" s="23">
        <f t="shared" si="13"/>
        <v>221.23222873425962</v>
      </c>
      <c r="X79" s="24">
        <f t="shared" si="14"/>
        <v>3.0117913832200061</v>
      </c>
      <c r="Y79" s="12" t="s">
        <v>251</v>
      </c>
      <c r="Z79" s="27">
        <v>2026.8810000000001</v>
      </c>
      <c r="AA79" s="25">
        <v>0</v>
      </c>
      <c r="AB79" s="25">
        <v>0</v>
      </c>
      <c r="AC79" s="25">
        <f>W79</f>
        <v>221.23222873425962</v>
      </c>
      <c r="AD79" s="52">
        <f t="shared" si="15"/>
        <v>221.23222873425962</v>
      </c>
      <c r="AE79" s="51">
        <f>IF(Z79="","",IF(K79="Long",Z79-Q79,Q79-Z79))</f>
        <v>33.205000000000155</v>
      </c>
      <c r="AF79" s="53">
        <f>IF(AE79="","",AC79*O79/T79)</f>
        <v>3.0117913832200062E-2</v>
      </c>
      <c r="AG79" s="135">
        <f>M79+AC79</f>
        <v>7566.7685087980162</v>
      </c>
      <c r="AH79" s="2"/>
      <c r="AI79" s="2"/>
      <c r="AJ79" s="2"/>
      <c r="AK79" s="2"/>
      <c r="AL79" s="2"/>
    </row>
    <row r="80" spans="1:56">
      <c r="A80" s="34"/>
      <c r="B80" s="144" t="s">
        <v>233</v>
      </c>
      <c r="C80" s="142">
        <v>75</v>
      </c>
      <c r="D80" s="11" t="s">
        <v>69</v>
      </c>
      <c r="E80" s="12" t="s">
        <v>252</v>
      </c>
      <c r="F80" s="13" t="s">
        <v>62</v>
      </c>
      <c r="G80" s="13" t="s">
        <v>74</v>
      </c>
      <c r="H80" s="29" t="s">
        <v>155</v>
      </c>
      <c r="I80" s="14" t="s">
        <v>64</v>
      </c>
      <c r="J80" s="15" t="s">
        <v>96</v>
      </c>
      <c r="K80" s="16" t="s">
        <v>68</v>
      </c>
      <c r="L80" s="40" t="s">
        <v>67</v>
      </c>
      <c r="M80" s="17">
        <f>AG79</f>
        <v>7566.7685087980162</v>
      </c>
      <c r="N80" s="18">
        <f t="shared" si="12"/>
        <v>75.667685087980161</v>
      </c>
      <c r="O80" s="19">
        <v>0.01</v>
      </c>
      <c r="P80" s="20"/>
      <c r="Q80" s="26">
        <v>0.53974</v>
      </c>
      <c r="R80" s="28">
        <v>0.53424000000000005</v>
      </c>
      <c r="S80" s="21">
        <f>IF(R80="","",IF(K80="Long",Q80-R80,R80-Q80))</f>
        <v>5.4999999999999494E-3</v>
      </c>
      <c r="T80" s="22">
        <f t="shared" si="16"/>
        <v>75.667685087980161</v>
      </c>
      <c r="U80" s="27">
        <v>0.54930999999999996</v>
      </c>
      <c r="V80" s="21">
        <f>IF(U80="","",IF(K80="Long",U80-Q80,Q80-U80))</f>
        <v>9.5699999999999674E-3</v>
      </c>
      <c r="W80" s="23">
        <f t="shared" si="13"/>
        <v>131.66177205308622</v>
      </c>
      <c r="X80" s="24">
        <f t="shared" si="14"/>
        <v>1.74000000000001</v>
      </c>
      <c r="Y80" s="12" t="s">
        <v>252</v>
      </c>
      <c r="Z80" s="28">
        <v>0.53773000000000004</v>
      </c>
      <c r="AA80" s="25">
        <v>0</v>
      </c>
      <c r="AB80" s="25">
        <v>0</v>
      </c>
      <c r="AC80" s="25">
        <f>-T80</f>
        <v>-75.667685087980161</v>
      </c>
      <c r="AD80" s="52">
        <f t="shared" si="15"/>
        <v>-75.667685087980161</v>
      </c>
      <c r="AE80" s="51">
        <f>IF(Z80="","",IF(K80="Long",Z80-Q80,Q80-Z80))</f>
        <v>-2.0099999999999563E-3</v>
      </c>
      <c r="AF80" s="53">
        <f>IF(AE80="","",AC80*O80/T80)</f>
        <v>-0.01</v>
      </c>
      <c r="AG80" s="135">
        <f>M80+AC80</f>
        <v>7491.1008237100359</v>
      </c>
      <c r="AH80" s="2"/>
      <c r="AI80" s="2"/>
      <c r="AJ80" s="2"/>
      <c r="AK80" s="2"/>
      <c r="AL80" s="2"/>
    </row>
    <row r="81" spans="1:38">
      <c r="A81" s="34"/>
      <c r="B81" s="144" t="s">
        <v>233</v>
      </c>
      <c r="C81" s="142">
        <v>76</v>
      </c>
      <c r="D81" s="11" t="s">
        <v>94</v>
      </c>
      <c r="E81" s="12" t="s">
        <v>253</v>
      </c>
      <c r="F81" s="13" t="s">
        <v>62</v>
      </c>
      <c r="G81" s="13" t="s">
        <v>88</v>
      </c>
      <c r="H81" s="29" t="s">
        <v>200</v>
      </c>
      <c r="I81" s="14" t="s">
        <v>64</v>
      </c>
      <c r="J81" s="15" t="s">
        <v>103</v>
      </c>
      <c r="K81" s="16" t="s">
        <v>47</v>
      </c>
      <c r="L81" s="40" t="s">
        <v>67</v>
      </c>
      <c r="M81" s="17">
        <f>AG80</f>
        <v>7491.1008237100359</v>
      </c>
      <c r="N81" s="18">
        <f t="shared" si="12"/>
        <v>74.911008237100361</v>
      </c>
      <c r="O81" s="19">
        <v>0.01</v>
      </c>
      <c r="P81" s="20"/>
      <c r="Q81" s="26">
        <v>7.1406099999999997</v>
      </c>
      <c r="R81" s="28">
        <v>7.1670100000000003</v>
      </c>
      <c r="S81" s="21">
        <f>IF(R81="","",IF(K81="Long",Q81-R81,R81-Q81))</f>
        <v>2.6400000000000645E-2</v>
      </c>
      <c r="T81" s="22">
        <f t="shared" si="16"/>
        <v>74.911008237100361</v>
      </c>
      <c r="U81" s="27">
        <v>7.0614800000000004</v>
      </c>
      <c r="V81" s="21">
        <f>IF(U81="","",IF(K81="Long",U81-Q81,Q81-U81))</f>
        <v>7.9129999999999256E-2</v>
      </c>
      <c r="W81" s="23">
        <f t="shared" si="13"/>
        <v>224.53439703793754</v>
      </c>
      <c r="X81" s="24">
        <f t="shared" si="14"/>
        <v>2.9973484848483833</v>
      </c>
      <c r="Y81" s="12" t="s">
        <v>253</v>
      </c>
      <c r="Z81" s="28">
        <v>7.1670100000000003</v>
      </c>
      <c r="AA81" s="25">
        <v>0</v>
      </c>
      <c r="AB81" s="25">
        <v>0</v>
      </c>
      <c r="AC81" s="25">
        <f>-T81</f>
        <v>-74.911008237100361</v>
      </c>
      <c r="AD81" s="52">
        <f t="shared" si="15"/>
        <v>-74.911008237100361</v>
      </c>
      <c r="AE81" s="51">
        <f>IF(Z81="","",IF(K81="Long",Z81-Q81,Q81-Z81))</f>
        <v>-2.6400000000000645E-2</v>
      </c>
      <c r="AF81" s="53">
        <f>IF(AE81="","",AC81*O81/T81)</f>
        <v>-0.01</v>
      </c>
      <c r="AG81" s="135">
        <f>M81+AC81</f>
        <v>7416.1898154729352</v>
      </c>
      <c r="AH81" s="2"/>
      <c r="AI81" s="2"/>
      <c r="AJ81" s="2"/>
      <c r="AK81" s="2"/>
      <c r="AL81" s="2"/>
    </row>
    <row r="82" spans="1:38">
      <c r="A82" s="34"/>
      <c r="B82" s="144" t="s">
        <v>233</v>
      </c>
      <c r="C82" s="142">
        <v>77</v>
      </c>
      <c r="D82" s="11" t="s">
        <v>94</v>
      </c>
      <c r="E82" s="12" t="s">
        <v>254</v>
      </c>
      <c r="F82" s="13" t="s">
        <v>49</v>
      </c>
      <c r="G82" s="13" t="s">
        <v>74</v>
      </c>
      <c r="H82" s="29" t="s">
        <v>151</v>
      </c>
      <c r="I82" s="14" t="s">
        <v>64</v>
      </c>
      <c r="J82" s="15" t="s">
        <v>115</v>
      </c>
      <c r="K82" s="16" t="s">
        <v>47</v>
      </c>
      <c r="L82" s="40" t="s">
        <v>67</v>
      </c>
      <c r="M82" s="17">
        <f>AG81</f>
        <v>7416.1898154729352</v>
      </c>
      <c r="N82" s="18">
        <f t="shared" si="12"/>
        <v>74.161898154729357</v>
      </c>
      <c r="O82" s="19">
        <v>0.01</v>
      </c>
      <c r="P82" s="20"/>
      <c r="Q82" s="26">
        <v>1.8712800000000001</v>
      </c>
      <c r="R82" s="28">
        <v>1.8764400000000001</v>
      </c>
      <c r="S82" s="21">
        <f>IF(R82="","",IF(K82="Long",Q82-R82,R82-Q82))</f>
        <v>5.1600000000000534E-3</v>
      </c>
      <c r="T82" s="22">
        <f t="shared" si="16"/>
        <v>74.161898154729357</v>
      </c>
      <c r="U82" s="27">
        <v>1.85582</v>
      </c>
      <c r="V82" s="21">
        <f>IF(U82="","",IF(K82="Long",U82-Q82,Q82-U82))</f>
        <v>1.5460000000000029E-2</v>
      </c>
      <c r="W82" s="23">
        <f t="shared" si="13"/>
        <v>222.1982452465322</v>
      </c>
      <c r="X82" s="24">
        <f t="shared" si="14"/>
        <v>2.9961240310077266</v>
      </c>
      <c r="Y82" s="12" t="s">
        <v>254</v>
      </c>
      <c r="Z82" s="28">
        <v>1.8764400000000001</v>
      </c>
      <c r="AA82" s="25">
        <v>0</v>
      </c>
      <c r="AB82" s="25">
        <v>0</v>
      </c>
      <c r="AC82" s="25">
        <f>-T82</f>
        <v>-74.161898154729357</v>
      </c>
      <c r="AD82" s="52">
        <f t="shared" si="15"/>
        <v>-74.161898154729357</v>
      </c>
      <c r="AE82" s="51">
        <f>IF(Z82="","",IF(K82="Long",Z82-Q82,Q82-Z82))</f>
        <v>-5.1600000000000534E-3</v>
      </c>
      <c r="AF82" s="53">
        <f>IF(AE82="","",AC82*O82/T82)</f>
        <v>-0.01</v>
      </c>
      <c r="AG82" s="135">
        <f>M82+AC82</f>
        <v>7342.0279173182062</v>
      </c>
      <c r="AH82" s="2"/>
      <c r="AI82" s="2"/>
      <c r="AJ82" s="2"/>
      <c r="AK82" s="2"/>
      <c r="AL82" s="2"/>
    </row>
    <row r="83" spans="1:38">
      <c r="A83" s="34"/>
      <c r="B83" s="58" t="s">
        <v>233</v>
      </c>
      <c r="C83" s="54">
        <v>78</v>
      </c>
      <c r="D83" s="11" t="s">
        <v>48</v>
      </c>
      <c r="E83" s="12" t="s">
        <v>255</v>
      </c>
      <c r="F83" s="13" t="s">
        <v>256</v>
      </c>
      <c r="G83" s="13" t="s">
        <v>74</v>
      </c>
      <c r="H83" s="29" t="s">
        <v>76</v>
      </c>
      <c r="I83" s="14" t="s">
        <v>257</v>
      </c>
      <c r="J83" s="15" t="s">
        <v>115</v>
      </c>
      <c r="K83" s="16" t="s">
        <v>47</v>
      </c>
      <c r="L83" s="40" t="s">
        <v>67</v>
      </c>
      <c r="M83" s="17">
        <v>10000</v>
      </c>
      <c r="N83" s="18">
        <f t="shared" si="12"/>
        <v>100</v>
      </c>
      <c r="O83" s="19">
        <v>0.01</v>
      </c>
      <c r="P83" s="20"/>
      <c r="Q83" s="26">
        <v>0.65724000000000005</v>
      </c>
      <c r="R83" s="28">
        <v>0.66005999999999998</v>
      </c>
      <c r="S83" s="21">
        <f>IF(R83="","",IF(K83="Long",Q83-R83,R83-Q83))</f>
        <v>2.8199999999999337E-3</v>
      </c>
      <c r="T83" s="22">
        <f t="shared" si="16"/>
        <v>100</v>
      </c>
      <c r="U83" s="27">
        <v>0.65124000000000004</v>
      </c>
      <c r="V83" s="21">
        <f>IF(U83="","",IF(K83="Long",U83-Q83,Q83-U83))</f>
        <v>6.0000000000000053E-3</v>
      </c>
      <c r="W83" s="23">
        <f t="shared" si="13"/>
        <v>212.7659574468137</v>
      </c>
      <c r="X83" s="24">
        <f>IF(V83="","",V83*1/S83)</f>
        <v>2.127659574468137</v>
      </c>
      <c r="Y83" s="12" t="s">
        <v>255</v>
      </c>
      <c r="Z83" s="27">
        <f>R83</f>
        <v>0.66005999999999998</v>
      </c>
      <c r="AA83" s="25">
        <v>-1.54</v>
      </c>
      <c r="AB83" s="25">
        <v>0.24</v>
      </c>
      <c r="AC83" s="145">
        <f>-T83</f>
        <v>-100</v>
      </c>
      <c r="AD83" s="52">
        <f>IF(AC83="","",AC83+AB83+AA83)</f>
        <v>-101.30000000000001</v>
      </c>
      <c r="AE83" s="51">
        <f>IF(Z83="","",IF(K83="Long",Z83-Q83,Q83-Z83))</f>
        <v>-2.8199999999999337E-3</v>
      </c>
      <c r="AF83" s="53">
        <f>IF(AE83="","",AC83*O83/T83)</f>
        <v>-0.01</v>
      </c>
      <c r="AG83" s="146">
        <f>M83+AD83</f>
        <v>9898.7000000000007</v>
      </c>
      <c r="AH83" s="2"/>
      <c r="AI83" s="2"/>
      <c r="AJ83" s="2"/>
      <c r="AK83" s="2"/>
      <c r="AL83" s="2"/>
    </row>
    <row r="84" spans="1:38">
      <c r="A84" s="34"/>
      <c r="B84" s="58" t="s">
        <v>233</v>
      </c>
      <c r="C84" s="54">
        <v>79</v>
      </c>
      <c r="D84" s="11" t="s">
        <v>94</v>
      </c>
      <c r="E84" s="12" t="s">
        <v>258</v>
      </c>
      <c r="F84" s="13" t="s">
        <v>256</v>
      </c>
      <c r="G84" s="13" t="s">
        <v>56</v>
      </c>
      <c r="H84" s="29" t="s">
        <v>59</v>
      </c>
      <c r="I84" s="14" t="s">
        <v>257</v>
      </c>
      <c r="J84" s="15" t="s">
        <v>80</v>
      </c>
      <c r="K84" s="16" t="s">
        <v>47</v>
      </c>
      <c r="L84" s="40" t="s">
        <v>67</v>
      </c>
      <c r="M84" s="17">
        <f>AG83</f>
        <v>9898.7000000000007</v>
      </c>
      <c r="N84" s="18">
        <f t="shared" si="12"/>
        <v>98.987000000000009</v>
      </c>
      <c r="O84" s="19">
        <v>0.01</v>
      </c>
      <c r="P84" s="20"/>
      <c r="Q84" s="26">
        <v>1.0812900000000001</v>
      </c>
      <c r="R84" s="28">
        <v>1.0815999999999999</v>
      </c>
      <c r="S84" s="21">
        <f>IF(R84="","",IF(K84="Long",Q84-R84,R84-Q84))</f>
        <v>3.0999999999981043E-4</v>
      </c>
      <c r="T84" s="22">
        <f t="shared" si="16"/>
        <v>98.987000000000009</v>
      </c>
      <c r="U84" s="27">
        <v>1.08033</v>
      </c>
      <c r="V84" s="21">
        <f>IF(U84="","",IF(K84="Long",U84-Q84,Q84-U84))</f>
        <v>9.6000000000007191E-4</v>
      </c>
      <c r="W84" s="23">
        <f t="shared" si="13"/>
        <v>306.54038709698466</v>
      </c>
      <c r="X84" s="24">
        <f t="shared" ref="X84:X147" si="17">IF(V84="","",V84*1/S84)</f>
        <v>3.0967741935505129</v>
      </c>
      <c r="Y84" s="12" t="s">
        <v>258</v>
      </c>
      <c r="Z84" s="28">
        <f>R84</f>
        <v>1.0815999999999999</v>
      </c>
      <c r="AA84" s="25">
        <v>-13.98</v>
      </c>
      <c r="AB84" s="25">
        <v>0</v>
      </c>
      <c r="AC84" s="145">
        <f>-T84</f>
        <v>-98.987000000000009</v>
      </c>
      <c r="AD84" s="52">
        <f t="shared" ref="AD84:AD147" si="18">IF(AC84="","",AC84+AB84+AA84)</f>
        <v>-112.96700000000001</v>
      </c>
      <c r="AE84" s="51">
        <f>IF(Z84="","",IF(K84="Long",Z84-Q84,Q84-Z84))</f>
        <v>-3.0999999999981043E-4</v>
      </c>
      <c r="AF84" s="53">
        <f>IF(AE84="","",AC84*O84/T84)</f>
        <v>-0.01</v>
      </c>
      <c r="AG84" s="146">
        <f>M84+AD84</f>
        <v>9785.7330000000002</v>
      </c>
      <c r="AH84" s="2"/>
      <c r="AI84" s="2"/>
      <c r="AJ84" s="2"/>
      <c r="AK84" s="2"/>
      <c r="AL84" s="2"/>
    </row>
    <row r="85" spans="1:38">
      <c r="A85" s="34"/>
      <c r="B85" s="58" t="s">
        <v>233</v>
      </c>
      <c r="C85" s="54">
        <v>80</v>
      </c>
      <c r="D85" s="11" t="s">
        <v>94</v>
      </c>
      <c r="E85" s="12" t="s">
        <v>258</v>
      </c>
      <c r="F85" s="13" t="s">
        <v>256</v>
      </c>
      <c r="G85" s="13" t="s">
        <v>56</v>
      </c>
      <c r="H85" s="29" t="s">
        <v>59</v>
      </c>
      <c r="I85" s="14" t="s">
        <v>257</v>
      </c>
      <c r="J85" s="15" t="s">
        <v>80</v>
      </c>
      <c r="K85" s="16" t="s">
        <v>47</v>
      </c>
      <c r="L85" s="40" t="s">
        <v>67</v>
      </c>
      <c r="M85" s="17">
        <f>AG84</f>
        <v>9785.7330000000002</v>
      </c>
      <c r="N85" s="18">
        <f t="shared" si="12"/>
        <v>97.857330000000005</v>
      </c>
      <c r="O85" s="19">
        <v>0.01</v>
      </c>
      <c r="P85" s="20"/>
      <c r="Q85" s="26">
        <v>1.0815399999999999</v>
      </c>
      <c r="R85" s="28">
        <v>1.08178</v>
      </c>
      <c r="S85" s="21">
        <f>IF(R85="","",IF(K85="Long",Q85-R85,R85-Q85))</f>
        <v>2.4000000000001798E-4</v>
      </c>
      <c r="T85" s="22">
        <f t="shared" si="16"/>
        <v>97.857330000000005</v>
      </c>
      <c r="U85" s="27">
        <v>1.0803400000000001</v>
      </c>
      <c r="V85" s="21">
        <f>IF(U85="","",IF(K85="Long",U85-Q85,Q85-U85))</f>
        <v>1.1999999999998678E-3</v>
      </c>
      <c r="W85" s="23">
        <f t="shared" si="13"/>
        <v>489.28664999990946</v>
      </c>
      <c r="X85" s="24">
        <f t="shared" si="17"/>
        <v>4.9999999999990745</v>
      </c>
      <c r="Y85" s="12" t="s">
        <v>258</v>
      </c>
      <c r="Z85" s="27">
        <f>R85</f>
        <v>1.08178</v>
      </c>
      <c r="AA85" s="25">
        <v>-18.64</v>
      </c>
      <c r="AB85" s="25">
        <v>0</v>
      </c>
      <c r="AC85" s="145">
        <f>-T85</f>
        <v>-97.857330000000005</v>
      </c>
      <c r="AD85" s="52">
        <f t="shared" si="18"/>
        <v>-116.49733000000001</v>
      </c>
      <c r="AE85" s="51">
        <f>IF(Z85="","",IF(K85="Long",Z85-Q85,Q85-Z85))</f>
        <v>-2.4000000000001798E-4</v>
      </c>
      <c r="AF85" s="53">
        <f>IF(AE85="","",AC85*O85/T85)</f>
        <v>-0.01</v>
      </c>
      <c r="AG85" s="146">
        <f>M85+AD85</f>
        <v>9669.23567</v>
      </c>
      <c r="AH85" s="2"/>
      <c r="AI85" s="2"/>
      <c r="AJ85" s="2"/>
      <c r="AK85" s="2"/>
      <c r="AL85" s="2"/>
    </row>
    <row r="86" spans="1:38">
      <c r="A86" s="34"/>
      <c r="B86" s="58" t="s">
        <v>233</v>
      </c>
      <c r="C86" s="142">
        <v>81</v>
      </c>
      <c r="D86" s="11" t="s">
        <v>82</v>
      </c>
      <c r="E86" s="12" t="s">
        <v>259</v>
      </c>
      <c r="F86" s="13" t="s">
        <v>256</v>
      </c>
      <c r="G86" s="13" t="s">
        <v>56</v>
      </c>
      <c r="H86" s="29" t="s">
        <v>59</v>
      </c>
      <c r="I86" s="14" t="s">
        <v>257</v>
      </c>
      <c r="J86" s="15" t="s">
        <v>80</v>
      </c>
      <c r="K86" s="16" t="s">
        <v>47</v>
      </c>
      <c r="L86" s="40" t="s">
        <v>67</v>
      </c>
      <c r="M86" s="17">
        <f>AG85</f>
        <v>9669.23567</v>
      </c>
      <c r="N86" s="18">
        <f t="shared" si="12"/>
        <v>96.692356700000005</v>
      </c>
      <c r="O86" s="19">
        <v>0.01</v>
      </c>
      <c r="P86" s="20"/>
      <c r="Q86" s="26">
        <v>1.0769</v>
      </c>
      <c r="R86" s="28">
        <v>1.0770900000000001</v>
      </c>
      <c r="S86" s="21">
        <f>IF(R86="","",IF(K86="Long",Q86-R86,R86-Q86))</f>
        <v>1.9000000000013451E-4</v>
      </c>
      <c r="T86" s="22">
        <f t="shared" si="16"/>
        <v>96.692356700000005</v>
      </c>
      <c r="U86" s="27">
        <v>1.07633</v>
      </c>
      <c r="V86" s="21">
        <f>IF(U86="","",IF(K86="Long",U86-Q86,Q86-U86))</f>
        <v>5.6999999999995943E-4</v>
      </c>
      <c r="W86" s="23">
        <f t="shared" si="13"/>
        <v>290.07707009977401</v>
      </c>
      <c r="X86" s="24">
        <f t="shared" si="17"/>
        <v>2.9999999999976628</v>
      </c>
      <c r="Y86" s="12" t="s">
        <v>259</v>
      </c>
      <c r="Z86" s="27">
        <f>R86</f>
        <v>1.0770900000000001</v>
      </c>
      <c r="AA86" s="25">
        <v>-22.16</v>
      </c>
      <c r="AB86" s="25">
        <v>0</v>
      </c>
      <c r="AC86" s="145">
        <f>-T86</f>
        <v>-96.692356700000005</v>
      </c>
      <c r="AD86" s="52">
        <f t="shared" si="18"/>
        <v>-118.8523567</v>
      </c>
      <c r="AE86" s="51">
        <f>IF(Z86="","",IF(K86="Long",Z86-Q86,Q86-Z86))</f>
        <v>-1.9000000000013451E-4</v>
      </c>
      <c r="AF86" s="53">
        <f>IF(AE86="","",AC86*O86/T86)</f>
        <v>-0.01</v>
      </c>
      <c r="AG86" s="146">
        <f>M86+AD86</f>
        <v>9550.3833133000007</v>
      </c>
      <c r="AH86" s="2"/>
      <c r="AI86" s="2"/>
      <c r="AJ86" s="2"/>
      <c r="AK86" s="2"/>
      <c r="AL86" s="2"/>
    </row>
    <row r="87" spans="1:38">
      <c r="A87" s="34"/>
      <c r="B87" s="58" t="s">
        <v>260</v>
      </c>
      <c r="C87" s="142">
        <v>82</v>
      </c>
      <c r="D87" s="11" t="s">
        <v>69</v>
      </c>
      <c r="E87" s="12" t="s">
        <v>261</v>
      </c>
      <c r="F87" s="13" t="s">
        <v>256</v>
      </c>
      <c r="G87" s="13" t="s">
        <v>56</v>
      </c>
      <c r="H87" s="29" t="s">
        <v>76</v>
      </c>
      <c r="I87" s="14" t="s">
        <v>257</v>
      </c>
      <c r="J87" s="15" t="s">
        <v>80</v>
      </c>
      <c r="K87" s="16" t="s">
        <v>68</v>
      </c>
      <c r="L87" s="40" t="s">
        <v>52</v>
      </c>
      <c r="M87" s="17">
        <f>AG86</f>
        <v>9550.3833133000007</v>
      </c>
      <c r="N87" s="18">
        <f t="shared" si="12"/>
        <v>95.503833133000015</v>
      </c>
      <c r="O87" s="19">
        <v>0.01</v>
      </c>
      <c r="P87" s="20"/>
      <c r="Q87" s="26">
        <v>0.65107000000000004</v>
      </c>
      <c r="R87" s="28">
        <v>0.65085999999999999</v>
      </c>
      <c r="S87" s="21">
        <f>IF(R87="","",IF(K87="Long",Q87-R87,R87-Q87))</f>
        <v>2.1000000000004349E-4</v>
      </c>
      <c r="T87" s="22">
        <f t="shared" si="16"/>
        <v>95.503833133000015</v>
      </c>
      <c r="U87" s="27">
        <v>0.65158000000000005</v>
      </c>
      <c r="V87" s="21">
        <f>IF(U87="","",IF(K87="Long",U87-Q87,Q87-U87))</f>
        <v>5.1000000000001044E-4</v>
      </c>
      <c r="W87" s="23">
        <f t="shared" si="13"/>
        <v>231.93788046581389</v>
      </c>
      <c r="X87" s="24">
        <f t="shared" si="17"/>
        <v>2.4285714285709754</v>
      </c>
      <c r="Y87" s="12" t="s">
        <v>261</v>
      </c>
      <c r="Z87" s="28">
        <f>U87</f>
        <v>0.65158000000000005</v>
      </c>
      <c r="AA87" s="25">
        <v>-13.61</v>
      </c>
      <c r="AB87" s="25">
        <v>0</v>
      </c>
      <c r="AC87" s="147">
        <f>W87</f>
        <v>231.93788046581389</v>
      </c>
      <c r="AD87" s="52">
        <f t="shared" si="18"/>
        <v>218.32788046581391</v>
      </c>
      <c r="AE87" s="51">
        <f>IF(Z87="","",IF(K87="Long",Z87-Q87,Q87-Z87))</f>
        <v>5.1000000000001044E-4</v>
      </c>
      <c r="AF87" s="53">
        <f>IF(AE87="","",AC87*O87/T87)</f>
        <v>2.4285714285709754E-2</v>
      </c>
      <c r="AG87" s="146">
        <f>M87+AD87</f>
        <v>9768.7111937658156</v>
      </c>
      <c r="AH87" s="2"/>
      <c r="AI87" s="2"/>
      <c r="AJ87" s="2"/>
      <c r="AK87" s="2"/>
      <c r="AL87" s="2"/>
    </row>
    <row r="88" spans="1:38">
      <c r="A88" s="34"/>
      <c r="B88" s="58" t="s">
        <v>260</v>
      </c>
      <c r="C88" s="142">
        <v>83</v>
      </c>
      <c r="D88" s="11" t="s">
        <v>94</v>
      </c>
      <c r="E88" s="12" t="s">
        <v>262</v>
      </c>
      <c r="F88" s="13" t="s">
        <v>256</v>
      </c>
      <c r="G88" s="13" t="s">
        <v>56</v>
      </c>
      <c r="H88" s="29" t="s">
        <v>59</v>
      </c>
      <c r="I88" s="14" t="s">
        <v>257</v>
      </c>
      <c r="J88" s="15" t="s">
        <v>80</v>
      </c>
      <c r="K88" s="16" t="s">
        <v>47</v>
      </c>
      <c r="L88" s="40" t="s">
        <v>52</v>
      </c>
      <c r="M88" s="17">
        <f>AG87</f>
        <v>9768.7111937658156</v>
      </c>
      <c r="N88" s="18">
        <f t="shared" si="12"/>
        <v>97.687111937658159</v>
      </c>
      <c r="O88" s="19">
        <v>0.01</v>
      </c>
      <c r="P88" s="20"/>
      <c r="Q88" s="26">
        <v>1.0934900000000001</v>
      </c>
      <c r="R88" s="28">
        <v>1.09389</v>
      </c>
      <c r="S88" s="21">
        <f>IF(R88="","",IF(K88="Long",Q88-R88,R88-Q88))</f>
        <v>3.9999999999995595E-4</v>
      </c>
      <c r="T88" s="22">
        <f t="shared" si="16"/>
        <v>97.687111937658159</v>
      </c>
      <c r="U88" s="27">
        <v>1.09233</v>
      </c>
      <c r="V88" s="21">
        <f>IF(U88="","",IF(K88="Long",U88-Q88,Q88-U88))</f>
        <v>1.1600000000000499E-3</v>
      </c>
      <c r="W88" s="23">
        <f t="shared" si="13"/>
        <v>283.29262461925202</v>
      </c>
      <c r="X88" s="24">
        <f t="shared" si="17"/>
        <v>2.900000000000444</v>
      </c>
      <c r="Y88" s="12" t="s">
        <v>262</v>
      </c>
      <c r="Z88" s="27">
        <f>U88</f>
        <v>1.09233</v>
      </c>
      <c r="AA88" s="25">
        <v>-7.66</v>
      </c>
      <c r="AB88" s="25">
        <v>0</v>
      </c>
      <c r="AC88" s="56">
        <f>W88</f>
        <v>283.29262461925202</v>
      </c>
      <c r="AD88" s="52">
        <f t="shared" si="18"/>
        <v>275.632624619252</v>
      </c>
      <c r="AE88" s="51">
        <f>IF(Z88="","",IF(K88="Long",Z88-Q88,Q88-Z88))</f>
        <v>1.1600000000000499E-3</v>
      </c>
      <c r="AF88" s="53">
        <f>IF(AE88="","",AC88*O88/T88)</f>
        <v>2.9000000000004439E-2</v>
      </c>
      <c r="AG88" s="146">
        <f>M88+AD88</f>
        <v>10044.343818385067</v>
      </c>
      <c r="AH88" s="2"/>
      <c r="AI88" s="2"/>
      <c r="AJ88" s="2"/>
      <c r="AK88" s="2"/>
      <c r="AL88" s="2"/>
    </row>
    <row r="89" spans="1:38">
      <c r="A89" s="34"/>
      <c r="B89" s="58" t="s">
        <v>260</v>
      </c>
      <c r="C89" s="142">
        <v>84</v>
      </c>
      <c r="D89" s="11" t="s">
        <v>69</v>
      </c>
      <c r="E89" s="12" t="s">
        <v>263</v>
      </c>
      <c r="F89" s="13" t="s">
        <v>256</v>
      </c>
      <c r="G89" s="13" t="s">
        <v>56</v>
      </c>
      <c r="H89" s="29" t="s">
        <v>59</v>
      </c>
      <c r="I89" s="14" t="s">
        <v>257</v>
      </c>
      <c r="J89" s="15" t="s">
        <v>119</v>
      </c>
      <c r="K89" s="16" t="s">
        <v>47</v>
      </c>
      <c r="L89" s="40" t="s">
        <v>52</v>
      </c>
      <c r="M89" s="17">
        <f>AG88</f>
        <v>10044.343818385067</v>
      </c>
      <c r="N89" s="18">
        <f t="shared" si="12"/>
        <v>100.44343818385067</v>
      </c>
      <c r="O89" s="19">
        <v>0.01</v>
      </c>
      <c r="P89" s="20"/>
      <c r="Q89" s="26">
        <v>1.08491</v>
      </c>
      <c r="R89" s="28">
        <v>1.0853299999999999</v>
      </c>
      <c r="S89" s="21">
        <f>IF(R89="","",IF(K89="Long",Q89-R89,R89-Q89))</f>
        <v>4.1999999999986493E-4</v>
      </c>
      <c r="T89" s="22">
        <f t="shared" si="16"/>
        <v>100.44343818385067</v>
      </c>
      <c r="U89" s="27">
        <v>1.08368</v>
      </c>
      <c r="V89" s="21">
        <f>IF(U89="","",IF(K89="Long",U89-Q89,Q89-U89))</f>
        <v>1.2300000000000644E-3</v>
      </c>
      <c r="W89" s="23">
        <f t="shared" si="13"/>
        <v>294.15578325281552</v>
      </c>
      <c r="X89" s="24">
        <f t="shared" si="17"/>
        <v>2.9285714285725235</v>
      </c>
      <c r="Y89" s="12" t="s">
        <v>263</v>
      </c>
      <c r="Z89" s="28">
        <v>1.0842400000000001</v>
      </c>
      <c r="AA89" s="25">
        <v>-7.33</v>
      </c>
      <c r="AB89" s="25">
        <v>0</v>
      </c>
      <c r="AC89" s="147">
        <v>163</v>
      </c>
      <c r="AD89" s="52">
        <f t="shared" si="18"/>
        <v>155.66999999999999</v>
      </c>
      <c r="AE89" s="51">
        <f>IF(Z89="","",IF(K89="Long",Z89-Q89,Q89-Z89))</f>
        <v>6.6999999999994841E-4</v>
      </c>
      <c r="AF89" s="53">
        <f>IF(AE89="","",AC89*O89/T89)</f>
        <v>1.6228038680002811E-2</v>
      </c>
      <c r="AG89" s="146">
        <f>M89+AD89</f>
        <v>10200.013818385067</v>
      </c>
      <c r="AH89" s="2"/>
      <c r="AI89" s="2"/>
      <c r="AJ89" s="2"/>
      <c r="AK89" s="2"/>
      <c r="AL89" s="2"/>
    </row>
    <row r="90" spans="1:38">
      <c r="A90" s="34"/>
      <c r="B90" s="58" t="s">
        <v>260</v>
      </c>
      <c r="C90" s="142">
        <v>85</v>
      </c>
      <c r="D90" s="11" t="s">
        <v>94</v>
      </c>
      <c r="E90" s="12" t="s">
        <v>264</v>
      </c>
      <c r="F90" s="13" t="s">
        <v>256</v>
      </c>
      <c r="G90" s="13" t="s">
        <v>56</v>
      </c>
      <c r="H90" s="29" t="s">
        <v>59</v>
      </c>
      <c r="I90" s="14" t="s">
        <v>257</v>
      </c>
      <c r="J90" s="15" t="s">
        <v>80</v>
      </c>
      <c r="K90" s="16" t="s">
        <v>68</v>
      </c>
      <c r="L90" s="40" t="s">
        <v>67</v>
      </c>
      <c r="M90" s="17">
        <f>AG89</f>
        <v>10200.013818385067</v>
      </c>
      <c r="N90" s="18">
        <f t="shared" si="12"/>
        <v>102.00013818385067</v>
      </c>
      <c r="O90" s="19">
        <v>0.01</v>
      </c>
      <c r="P90" s="20"/>
      <c r="Q90" s="26">
        <v>1.07935</v>
      </c>
      <c r="R90" s="28">
        <v>1.07894</v>
      </c>
      <c r="S90" s="21">
        <f>IF(R90="","",IF(K90="Long",Q90-R90,R90-Q90))</f>
        <v>4.1000000000002146E-4</v>
      </c>
      <c r="T90" s="22">
        <f>IF(S90="","",N90)</f>
        <v>102.00013818385067</v>
      </c>
      <c r="U90" s="27">
        <v>1.08002</v>
      </c>
      <c r="V90" s="21">
        <f>IF(U90="","",IF(K90="Long",U90-Q90,Q90-U90))</f>
        <v>6.6999999999994841E-4</v>
      </c>
      <c r="W90" s="23">
        <f t="shared" si="13"/>
        <v>166.68315264188075</v>
      </c>
      <c r="X90" s="24">
        <f t="shared" si="17"/>
        <v>1.6341463414632034</v>
      </c>
      <c r="Y90" s="12" t="s">
        <v>264</v>
      </c>
      <c r="Z90" s="28">
        <f>R90</f>
        <v>1.07894</v>
      </c>
      <c r="AA90" s="25">
        <v>-7.98</v>
      </c>
      <c r="AB90" s="25">
        <v>0</v>
      </c>
      <c r="AC90" s="57">
        <f>-T90</f>
        <v>-102.00013818385067</v>
      </c>
      <c r="AD90" s="52">
        <f t="shared" si="18"/>
        <v>-109.98013818385067</v>
      </c>
      <c r="AE90" s="51">
        <f>IF(Z90="","",IF(K90="Long",Z90-Q90,Q90-Z90))</f>
        <v>-4.1000000000002146E-4</v>
      </c>
      <c r="AF90" s="53">
        <f>IF(AE90="","",AC90*O90/T90)</f>
        <v>-0.01</v>
      </c>
      <c r="AG90" s="146">
        <f>M90+AD90</f>
        <v>10090.033680201215</v>
      </c>
      <c r="AH90" s="2"/>
      <c r="AI90" s="2"/>
      <c r="AJ90" s="2"/>
      <c r="AK90" s="2"/>
      <c r="AL90" s="2"/>
    </row>
    <row r="91" spans="1:38">
      <c r="A91" s="34"/>
      <c r="B91" s="58" t="s">
        <v>260</v>
      </c>
      <c r="C91" s="142">
        <v>86</v>
      </c>
      <c r="D91" s="11" t="s">
        <v>69</v>
      </c>
      <c r="E91" s="12" t="s">
        <v>265</v>
      </c>
      <c r="F91" s="13" t="s">
        <v>266</v>
      </c>
      <c r="G91" s="13" t="s">
        <v>56</v>
      </c>
      <c r="H91" s="29" t="s">
        <v>76</v>
      </c>
      <c r="I91" s="14" t="s">
        <v>257</v>
      </c>
      <c r="J91" s="15" t="s">
        <v>80</v>
      </c>
      <c r="K91" s="16" t="s">
        <v>47</v>
      </c>
      <c r="L91" s="40" t="s">
        <v>52</v>
      </c>
      <c r="M91" s="17">
        <f>AG90</f>
        <v>10090.033680201215</v>
      </c>
      <c r="N91" s="18">
        <f t="shared" si="12"/>
        <v>100.90033680201215</v>
      </c>
      <c r="O91" s="19">
        <v>0.01</v>
      </c>
      <c r="P91" s="20"/>
      <c r="Q91" s="26">
        <v>0.65041000000000004</v>
      </c>
      <c r="R91" s="28">
        <v>0.65071999999999997</v>
      </c>
      <c r="S91" s="21">
        <f>IF(R91="","",IF(K91="Long",Q91-R91,R91-Q91))</f>
        <v>3.0999999999992145E-4</v>
      </c>
      <c r="T91" s="22">
        <f t="shared" ref="T91:T154" si="19">IF(S91="","",N91)</f>
        <v>100.90033680201215</v>
      </c>
      <c r="U91" s="27">
        <v>0.64885999999999999</v>
      </c>
      <c r="V91" s="21">
        <f>IF(U91="","",IF(K91="Long",U91-Q91,Q91-U91))</f>
        <v>1.5500000000000513E-3</v>
      </c>
      <c r="W91" s="23">
        <f t="shared" si="13"/>
        <v>504.50168401020528</v>
      </c>
      <c r="X91" s="24">
        <f t="shared" si="17"/>
        <v>5.0000000000014326</v>
      </c>
      <c r="Y91" s="12" t="s">
        <v>265</v>
      </c>
      <c r="Z91" s="27">
        <v>0.65020999999999995</v>
      </c>
      <c r="AA91" s="25">
        <v>-10.52</v>
      </c>
      <c r="AB91" s="25">
        <v>0</v>
      </c>
      <c r="AC91" s="56">
        <v>70.16</v>
      </c>
      <c r="AD91" s="52">
        <f t="shared" si="18"/>
        <v>59.64</v>
      </c>
      <c r="AE91" s="51">
        <f>IF(Z91="","",IF(K91="Long",Z91-Q91,Q91-Z91))</f>
        <v>2.00000000000089E-4</v>
      </c>
      <c r="AF91" s="53">
        <f>IF(AE91="","",AC91*O91/T91)</f>
        <v>6.9533960166722527E-3</v>
      </c>
      <c r="AG91" s="146">
        <f>M91+AD91</f>
        <v>10149.673680201215</v>
      </c>
      <c r="AH91" s="2"/>
      <c r="AI91" s="2"/>
      <c r="AJ91" s="2"/>
      <c r="AK91" s="2"/>
      <c r="AL91" s="2"/>
    </row>
    <row r="92" spans="1:38">
      <c r="A92" s="34"/>
      <c r="B92" s="58" t="s">
        <v>260</v>
      </c>
      <c r="C92" s="142">
        <v>87</v>
      </c>
      <c r="D92" s="11" t="s">
        <v>82</v>
      </c>
      <c r="E92" s="12" t="s">
        <v>267</v>
      </c>
      <c r="F92" s="13" t="s">
        <v>266</v>
      </c>
      <c r="G92" s="13" t="s">
        <v>56</v>
      </c>
      <c r="H92" s="29" t="s">
        <v>59</v>
      </c>
      <c r="I92" s="14" t="s">
        <v>257</v>
      </c>
      <c r="J92" s="15" t="s">
        <v>80</v>
      </c>
      <c r="K92" s="16" t="s">
        <v>47</v>
      </c>
      <c r="L92" s="148"/>
      <c r="M92" s="17">
        <f>AG91</f>
        <v>10149.673680201215</v>
      </c>
      <c r="N92" s="18">
        <f t="shared" si="12"/>
        <v>101.49673680201215</v>
      </c>
      <c r="O92" s="19">
        <v>0.01</v>
      </c>
      <c r="P92" s="20"/>
      <c r="Q92" s="26">
        <v>1.07809</v>
      </c>
      <c r="R92" s="28">
        <v>1.0785100000000001</v>
      </c>
      <c r="S92" s="21">
        <f>IF(R92="","",IF(K92="Long",Q92-R92,R92-Q92))</f>
        <v>4.2000000000008697E-4</v>
      </c>
      <c r="T92" s="22">
        <f t="shared" si="19"/>
        <v>101.49673680201215</v>
      </c>
      <c r="U92" s="27">
        <v>1.0770599999999999</v>
      </c>
      <c r="V92" s="21">
        <f>IF(U92="","",IF(K92="Long",U92-Q92,Q92-U92))</f>
        <v>1.0300000000000864E-3</v>
      </c>
      <c r="W92" s="23">
        <f t="shared" si="13"/>
        <v>248.90866406204674</v>
      </c>
      <c r="X92" s="24">
        <f t="shared" si="17"/>
        <v>2.4523809523806501</v>
      </c>
      <c r="Y92" s="12" t="s">
        <v>267</v>
      </c>
      <c r="Z92" s="27">
        <v>1.97817</v>
      </c>
      <c r="AA92" s="25">
        <v>-7.56</v>
      </c>
      <c r="AB92" s="25">
        <v>0</v>
      </c>
      <c r="AC92" s="25">
        <v>-20.18</v>
      </c>
      <c r="AD92" s="52">
        <f t="shared" si="18"/>
        <v>-27.74</v>
      </c>
      <c r="AE92" s="51">
        <f>IF(Z92="","",IF(K92="Long",Z92-Q92,Q92-Z92))</f>
        <v>-0.90007999999999999</v>
      </c>
      <c r="AF92" s="53">
        <f>IF(AE92="","",AC92*O92/T92)</f>
        <v>-1.9882412613288999E-3</v>
      </c>
      <c r="AG92" s="146">
        <f>M92+AD92</f>
        <v>10121.933680201215</v>
      </c>
      <c r="AH92" s="2"/>
      <c r="AI92" s="2"/>
      <c r="AJ92" s="2"/>
      <c r="AK92" s="2"/>
      <c r="AL92" s="2"/>
    </row>
    <row r="93" spans="1:38">
      <c r="A93" s="34"/>
      <c r="B93" s="58" t="s">
        <v>260</v>
      </c>
      <c r="C93" s="54">
        <v>88</v>
      </c>
      <c r="D93" s="11" t="s">
        <v>94</v>
      </c>
      <c r="E93" s="12" t="s">
        <v>268</v>
      </c>
      <c r="F93" s="13" t="s">
        <v>266</v>
      </c>
      <c r="G93" s="13" t="s">
        <v>56</v>
      </c>
      <c r="H93" s="29" t="s">
        <v>59</v>
      </c>
      <c r="I93" s="14" t="s">
        <v>257</v>
      </c>
      <c r="J93" s="15" t="s">
        <v>80</v>
      </c>
      <c r="K93" s="16" t="s">
        <v>68</v>
      </c>
      <c r="L93" s="148"/>
      <c r="M93" s="17">
        <f>AG92</f>
        <v>10121.933680201215</v>
      </c>
      <c r="N93" s="18">
        <f t="shared" si="12"/>
        <v>101.21933680201215</v>
      </c>
      <c r="O93" s="19">
        <v>0.01</v>
      </c>
      <c r="P93" s="20"/>
      <c r="Q93" s="26">
        <v>1.086689</v>
      </c>
      <c r="R93" s="28">
        <v>1.0863700000000001</v>
      </c>
      <c r="S93" s="21">
        <f>IF(R93="","",IF(K93="Long",Q93-R93,R93-Q93))</f>
        <v>3.1899999999995821E-4</v>
      </c>
      <c r="T93" s="22">
        <f t="shared" si="19"/>
        <v>101.21933680201215</v>
      </c>
      <c r="U93" s="27">
        <v>1.0878699999999999</v>
      </c>
      <c r="V93" s="21">
        <f>IF(U93="","",IF(K93="Long",U93-Q93,Q93-U93))</f>
        <v>1.1809999999998766E-3</v>
      </c>
      <c r="W93" s="23">
        <f t="shared" si="13"/>
        <v>374.7336575648261</v>
      </c>
      <c r="X93" s="24">
        <f t="shared" si="17"/>
        <v>3.7021943573668694</v>
      </c>
      <c r="Y93" s="12" t="s">
        <v>268</v>
      </c>
      <c r="Z93" s="28">
        <f>Q93</f>
        <v>1.086689</v>
      </c>
      <c r="AA93" s="25">
        <v>-6.1</v>
      </c>
      <c r="AB93" s="25">
        <v>0</v>
      </c>
      <c r="AC93" s="25">
        <v>0</v>
      </c>
      <c r="AD93" s="52">
        <f t="shared" si="18"/>
        <v>-6.1</v>
      </c>
      <c r="AE93" s="51">
        <f>IF(Z93="","",IF(K93="Long",Z93-Q93,Q93-Z93))</f>
        <v>0</v>
      </c>
      <c r="AF93" s="53">
        <f>IF(AE93="","",AC93*O93/T93)</f>
        <v>0</v>
      </c>
      <c r="AG93" s="146">
        <f>M93+AD93</f>
        <v>10115.833680201215</v>
      </c>
      <c r="AH93" s="2"/>
      <c r="AI93" s="2"/>
      <c r="AJ93" s="2"/>
      <c r="AK93" s="2"/>
      <c r="AL93" s="2"/>
    </row>
    <row r="94" spans="1:38">
      <c r="A94" s="34"/>
      <c r="B94" s="58" t="s">
        <v>260</v>
      </c>
      <c r="C94" s="54">
        <v>89</v>
      </c>
      <c r="D94" s="11" t="s">
        <v>102</v>
      </c>
      <c r="E94" s="12" t="s">
        <v>269</v>
      </c>
      <c r="F94" s="13" t="s">
        <v>266</v>
      </c>
      <c r="G94" s="13" t="s">
        <v>56</v>
      </c>
      <c r="H94" s="29" t="s">
        <v>76</v>
      </c>
      <c r="I94" s="14" t="s">
        <v>257</v>
      </c>
      <c r="J94" s="15" t="s">
        <v>80</v>
      </c>
      <c r="K94" s="16" t="s">
        <v>68</v>
      </c>
      <c r="L94" s="40" t="s">
        <v>67</v>
      </c>
      <c r="M94" s="17">
        <f>AG93</f>
        <v>10115.833680201215</v>
      </c>
      <c r="N94" s="18">
        <f t="shared" si="12"/>
        <v>101.15833680201214</v>
      </c>
      <c r="O94" s="19">
        <v>0.01</v>
      </c>
      <c r="P94" s="20"/>
      <c r="Q94" s="26">
        <v>0.65854999999999997</v>
      </c>
      <c r="R94" s="26">
        <v>0.65829000000000004</v>
      </c>
      <c r="S94" s="21">
        <f>IF(R94="","",IF(K94="Long",Q94-R94,R94-Q94))</f>
        <v>2.5999999999992696E-4</v>
      </c>
      <c r="T94" s="22">
        <f t="shared" si="19"/>
        <v>101.15833680201214</v>
      </c>
      <c r="U94" s="27">
        <v>0.65876999999999997</v>
      </c>
      <c r="V94" s="21">
        <f>IF(U94="","",IF(K94="Long",U94-Q94,Q94-U94))</f>
        <v>2.1999999999999797E-4</v>
      </c>
      <c r="W94" s="23">
        <f t="shared" si="13"/>
        <v>85.595515755571995</v>
      </c>
      <c r="X94" s="24">
        <f t="shared" si="17"/>
        <v>0.84615384615407607</v>
      </c>
      <c r="Y94" s="12" t="s">
        <v>269</v>
      </c>
      <c r="Z94" s="28">
        <v>0.65829000000000004</v>
      </c>
      <c r="AA94" s="25">
        <v>-12.18</v>
      </c>
      <c r="AB94" s="25">
        <v>0</v>
      </c>
      <c r="AC94" s="25">
        <v>-52.79</v>
      </c>
      <c r="AD94" s="52">
        <f t="shared" si="18"/>
        <v>-64.97</v>
      </c>
      <c r="AE94" s="51">
        <f>IF(Z94="","",IF(K94="Long",Z94-Q94,Q94-Z94))</f>
        <v>-2.5999999999992696E-4</v>
      </c>
      <c r="AF94" s="53">
        <f>IF(AE94="","",AC94*O94/T94)</f>
        <v>-5.2185515963277442E-3</v>
      </c>
      <c r="AG94" s="146">
        <f>M94+AD94</f>
        <v>10050.863680201215</v>
      </c>
      <c r="AH94" s="2"/>
      <c r="AI94" s="2"/>
      <c r="AJ94" s="2"/>
      <c r="AK94" s="2"/>
      <c r="AL94" s="2"/>
    </row>
    <row r="95" spans="1:38">
      <c r="A95" s="34"/>
      <c r="B95" s="58" t="s">
        <v>260</v>
      </c>
      <c r="C95" s="54">
        <v>90</v>
      </c>
      <c r="D95" s="11" t="s">
        <v>102</v>
      </c>
      <c r="E95" s="12" t="s">
        <v>269</v>
      </c>
      <c r="F95" s="13" t="s">
        <v>266</v>
      </c>
      <c r="G95" s="13" t="s">
        <v>56</v>
      </c>
      <c r="H95" s="29" t="s">
        <v>59</v>
      </c>
      <c r="I95" s="14" t="s">
        <v>257</v>
      </c>
      <c r="J95" s="15" t="s">
        <v>80</v>
      </c>
      <c r="K95" s="16" t="s">
        <v>68</v>
      </c>
      <c r="L95" s="40" t="s">
        <v>67</v>
      </c>
      <c r="M95" s="17">
        <f>AG94</f>
        <v>10050.863680201215</v>
      </c>
      <c r="N95" s="18">
        <f t="shared" si="12"/>
        <v>100.50863680201215</v>
      </c>
      <c r="O95" s="19">
        <v>0.01</v>
      </c>
      <c r="P95" s="20"/>
      <c r="Q95" s="26">
        <v>1.08</v>
      </c>
      <c r="R95" s="28">
        <v>1.0790999999999999</v>
      </c>
      <c r="S95" s="21">
        <f>IF(R95="","",IF(K95="Long",Q95-R95,R95-Q95))</f>
        <v>9.0000000000012292E-4</v>
      </c>
      <c r="T95" s="22">
        <f t="shared" si="19"/>
        <v>100.50863680201215</v>
      </c>
      <c r="U95" s="27">
        <v>1.0841400000000001</v>
      </c>
      <c r="V95" s="21">
        <f>IF(U95="","",IF(K95="Long",U95-Q95,Q95-U95))</f>
        <v>4.1400000000000325E-3</v>
      </c>
      <c r="W95" s="23">
        <f t="shared" si="13"/>
        <v>462.33972928919638</v>
      </c>
      <c r="X95" s="24">
        <f t="shared" si="17"/>
        <v>4.5999999999994081</v>
      </c>
      <c r="Y95" s="12" t="s">
        <v>269</v>
      </c>
      <c r="Z95" s="28">
        <v>1.07995</v>
      </c>
      <c r="AA95" s="25">
        <v>-3.7</v>
      </c>
      <c r="AB95" s="25">
        <v>0</v>
      </c>
      <c r="AC95" s="25">
        <v>-6.16</v>
      </c>
      <c r="AD95" s="52">
        <f t="shared" si="18"/>
        <v>-9.86</v>
      </c>
      <c r="AE95" s="51">
        <f>IF(Z95="","",IF(K95="Long",Z95-Q95,Q95-Z95))</f>
        <v>-5.0000000000105516E-5</v>
      </c>
      <c r="AF95" s="53">
        <f>IF(AE95="","",AC95*O95/T95)</f>
        <v>-6.1288265327230857E-4</v>
      </c>
      <c r="AG95" s="146">
        <f>M95+AD95</f>
        <v>10041.003680201215</v>
      </c>
      <c r="AH95" s="2"/>
      <c r="AI95" s="2"/>
      <c r="AJ95" s="2"/>
      <c r="AK95" s="2"/>
      <c r="AL95" s="2"/>
    </row>
    <row r="96" spans="1:38">
      <c r="A96" s="34"/>
      <c r="B96" s="58" t="s">
        <v>260</v>
      </c>
      <c r="C96" s="142">
        <v>91</v>
      </c>
      <c r="D96" s="11" t="s">
        <v>69</v>
      </c>
      <c r="E96" s="12" t="s">
        <v>270</v>
      </c>
      <c r="F96" s="13" t="s">
        <v>266</v>
      </c>
      <c r="G96" s="13" t="s">
        <v>56</v>
      </c>
      <c r="H96" s="29" t="s">
        <v>76</v>
      </c>
      <c r="I96" s="14" t="s">
        <v>257</v>
      </c>
      <c r="J96" s="15" t="s">
        <v>80</v>
      </c>
      <c r="K96" s="16" t="s">
        <v>47</v>
      </c>
      <c r="L96" s="40" t="s">
        <v>67</v>
      </c>
      <c r="M96" s="17">
        <f>AG95</f>
        <v>10041.003680201215</v>
      </c>
      <c r="N96" s="18">
        <f t="shared" si="12"/>
        <v>100.41003680201214</v>
      </c>
      <c r="O96" s="19">
        <v>0.01</v>
      </c>
      <c r="P96" s="20"/>
      <c r="Q96" s="26">
        <v>0.66183000000000003</v>
      </c>
      <c r="R96" s="28">
        <v>0.66200000000000003</v>
      </c>
      <c r="S96" s="21">
        <f>IF(R96="","",IF(K96="Long",Q96-R96,R96-Q96))</f>
        <v>1.7000000000000348E-4</v>
      </c>
      <c r="T96" s="22">
        <f t="shared" si="19"/>
        <v>100.41003680201214</v>
      </c>
      <c r="U96" s="27">
        <v>0.66113999999999995</v>
      </c>
      <c r="V96" s="21">
        <f>IF(U96="","",IF(K96="Long",U96-Q96,Q96-U96))</f>
        <v>6.9000000000007944E-4</v>
      </c>
      <c r="W96" s="23">
        <f t="shared" si="13"/>
        <v>407.54661996114669</v>
      </c>
      <c r="X96" s="24">
        <f t="shared" si="17"/>
        <v>4.0588235294121491</v>
      </c>
      <c r="Y96" s="12" t="s">
        <v>270</v>
      </c>
      <c r="Z96" s="28">
        <f>R96</f>
        <v>0.66200000000000003</v>
      </c>
      <c r="AA96" s="25">
        <v>-11.24</v>
      </c>
      <c r="AB96" s="25">
        <v>0</v>
      </c>
      <c r="AC96" s="25">
        <f>-T96</f>
        <v>-100.41003680201214</v>
      </c>
      <c r="AD96" s="52">
        <f t="shared" si="18"/>
        <v>-111.65003680201214</v>
      </c>
      <c r="AE96" s="51">
        <f>IF(Z96="","",IF(K96="Long",Z96-Q96,Q96-Z96))</f>
        <v>-1.7000000000000348E-4</v>
      </c>
      <c r="AF96" s="53">
        <f>IF(AE96="","",AC96*O96/T96)</f>
        <v>-0.01</v>
      </c>
      <c r="AG96" s="146">
        <f>M96+AD96</f>
        <v>9929.3536433992031</v>
      </c>
      <c r="AH96" s="2"/>
      <c r="AI96" s="2"/>
      <c r="AJ96" s="2"/>
      <c r="AK96" s="2"/>
      <c r="AL96" s="2"/>
    </row>
    <row r="97" spans="1:38">
      <c r="A97" s="34"/>
      <c r="B97" s="58" t="s">
        <v>260</v>
      </c>
      <c r="C97" s="142">
        <v>92</v>
      </c>
      <c r="D97" s="11" t="s">
        <v>69</v>
      </c>
      <c r="E97" s="12" t="s">
        <v>270</v>
      </c>
      <c r="F97" s="13" t="s">
        <v>266</v>
      </c>
      <c r="G97" s="13" t="s">
        <v>56</v>
      </c>
      <c r="H97" s="29" t="s">
        <v>59</v>
      </c>
      <c r="I97" s="14" t="s">
        <v>257</v>
      </c>
      <c r="J97" s="15" t="s">
        <v>80</v>
      </c>
      <c r="K97" s="16" t="s">
        <v>81</v>
      </c>
      <c r="L97" s="40" t="s">
        <v>52</v>
      </c>
      <c r="M97" s="17">
        <f>AG96</f>
        <v>9929.3536433992031</v>
      </c>
      <c r="N97" s="18">
        <f t="shared" si="12"/>
        <v>99.293536433992031</v>
      </c>
      <c r="O97" s="19">
        <v>0.01</v>
      </c>
      <c r="P97" s="20"/>
      <c r="Q97" s="26">
        <v>1.0866800000000001</v>
      </c>
      <c r="R97" s="28">
        <v>1.0859399999999999</v>
      </c>
      <c r="S97" s="21">
        <f>IF(R97="","",IF(K97="Long",Q97-R97,R97-Q97))</f>
        <v>7.4000000000018495E-4</v>
      </c>
      <c r="T97" s="22">
        <f t="shared" si="19"/>
        <v>99.293536433992031</v>
      </c>
      <c r="U97" s="27">
        <v>1.08901</v>
      </c>
      <c r="V97" s="21">
        <f>IF(U97="","",IF(K97="Long",U97-Q97,Q97-U97))</f>
        <v>2.3299999999999432E-3</v>
      </c>
      <c r="W97" s="23">
        <f t="shared" si="13"/>
        <v>312.64045931234858</v>
      </c>
      <c r="X97" s="24">
        <f t="shared" si="17"/>
        <v>3.1486486486477849</v>
      </c>
      <c r="Y97" s="12" t="s">
        <v>270</v>
      </c>
      <c r="Z97" s="28">
        <v>1.0859399999999999</v>
      </c>
      <c r="AA97" s="25">
        <v>-4.2</v>
      </c>
      <c r="AB97" s="25">
        <v>0</v>
      </c>
      <c r="AC97" s="25">
        <v>176.04</v>
      </c>
      <c r="AD97" s="52">
        <f t="shared" si="18"/>
        <v>171.84</v>
      </c>
      <c r="AE97" s="51">
        <f>IF(Z97="","",IF(K97="Long",Z97-Q97,Q97-Z97))</f>
        <v>-7.4000000000018495E-4</v>
      </c>
      <c r="AF97" s="53">
        <f>IF(AE97="","",AC97*O97/T97)</f>
        <v>1.7729250696698388E-2</v>
      </c>
      <c r="AG97" s="146">
        <f>M97+AD97</f>
        <v>10101.193643399203</v>
      </c>
      <c r="AH97" s="2"/>
      <c r="AI97" s="2"/>
      <c r="AJ97" s="2"/>
      <c r="AK97" s="2"/>
      <c r="AL97" s="2"/>
    </row>
    <row r="98" spans="1:38">
      <c r="A98" s="34"/>
      <c r="B98" s="58" t="s">
        <v>260</v>
      </c>
      <c r="C98" s="142">
        <v>93</v>
      </c>
      <c r="D98" s="11" t="s">
        <v>82</v>
      </c>
      <c r="E98" s="12" t="s">
        <v>271</v>
      </c>
      <c r="F98" s="13" t="s">
        <v>266</v>
      </c>
      <c r="G98" s="13" t="s">
        <v>56</v>
      </c>
      <c r="H98" s="29" t="s">
        <v>59</v>
      </c>
      <c r="I98" s="14" t="s">
        <v>257</v>
      </c>
      <c r="J98" s="15" t="s">
        <v>80</v>
      </c>
      <c r="K98" s="16" t="s">
        <v>47</v>
      </c>
      <c r="L98" s="40" t="s">
        <v>67</v>
      </c>
      <c r="M98" s="17">
        <f>AG97</f>
        <v>10101.193643399203</v>
      </c>
      <c r="N98" s="18">
        <f t="shared" si="12"/>
        <v>101.01193643399203</v>
      </c>
      <c r="O98" s="19">
        <v>0.01</v>
      </c>
      <c r="P98" s="20"/>
      <c r="Q98" s="26">
        <v>1.0859399999999999</v>
      </c>
      <c r="R98" s="28">
        <v>1.0863499999999999</v>
      </c>
      <c r="S98" s="21">
        <f>IF(R98="","",IF(K98="Long",Q98-R98,R98-Q98))</f>
        <v>4.1000000000002146E-4</v>
      </c>
      <c r="T98" s="22">
        <f t="shared" si="19"/>
        <v>101.01193643399203</v>
      </c>
      <c r="U98" s="27">
        <v>1.08491</v>
      </c>
      <c r="V98" s="21">
        <f>IF(U98="","",IF(K98="Long",U98-Q98,Q98-U98))</f>
        <v>1.0299999999998644E-3</v>
      </c>
      <c r="W98" s="23">
        <f t="shared" si="13"/>
        <v>253.76169396827476</v>
      </c>
      <c r="X98" s="24">
        <f t="shared" si="17"/>
        <v>2.5121951219507572</v>
      </c>
      <c r="Y98" s="12" t="s">
        <v>271</v>
      </c>
      <c r="Z98" s="28">
        <v>1.0860099999999999</v>
      </c>
      <c r="AA98" s="25">
        <v>-7.74</v>
      </c>
      <c r="AB98" s="25">
        <v>0</v>
      </c>
      <c r="AC98" s="25">
        <v>-18.05</v>
      </c>
      <c r="AD98" s="52">
        <f t="shared" si="18"/>
        <v>-25.79</v>
      </c>
      <c r="AE98" s="51">
        <f>IF(Z98="","",IF(K98="Long",Z98-Q98,Q98-Z98))</f>
        <v>-7.0000000000014495E-5</v>
      </c>
      <c r="AF98" s="53">
        <f>IF(AE98="","",AC98*O98/T98)</f>
        <v>-1.7869175304638459E-3</v>
      </c>
      <c r="AG98" s="146">
        <f>M98+AD98</f>
        <v>10075.403643399202</v>
      </c>
      <c r="AH98" s="2"/>
      <c r="AI98" s="2"/>
      <c r="AJ98" s="2"/>
      <c r="AK98" s="2"/>
      <c r="AL98" s="2"/>
    </row>
    <row r="99" spans="1:38">
      <c r="A99" s="34"/>
      <c r="B99" s="58" t="s">
        <v>260</v>
      </c>
      <c r="C99" s="142">
        <v>94</v>
      </c>
      <c r="D99" s="11" t="s">
        <v>82</v>
      </c>
      <c r="E99" s="12" t="s">
        <v>271</v>
      </c>
      <c r="F99" s="13" t="s">
        <v>266</v>
      </c>
      <c r="G99" s="13" t="s">
        <v>56</v>
      </c>
      <c r="H99" s="29" t="s">
        <v>59</v>
      </c>
      <c r="I99" s="14" t="s">
        <v>257</v>
      </c>
      <c r="J99" s="15" t="s">
        <v>80</v>
      </c>
      <c r="K99" s="16" t="s">
        <v>47</v>
      </c>
      <c r="L99" s="40" t="s">
        <v>67</v>
      </c>
      <c r="M99" s="17">
        <f>AG98</f>
        <v>10075.403643399202</v>
      </c>
      <c r="N99" s="18">
        <f t="shared" si="12"/>
        <v>100.75403643399203</v>
      </c>
      <c r="O99" s="19">
        <v>0.01</v>
      </c>
      <c r="P99" s="20"/>
      <c r="Q99" s="26">
        <v>1.0859399999999999</v>
      </c>
      <c r="R99" s="28">
        <v>1.08633</v>
      </c>
      <c r="S99" s="21">
        <f>IF(R99="","",IF(K99="Long",Q99-R99,R99-Q99))</f>
        <v>3.9000000000011248E-4</v>
      </c>
      <c r="T99" s="22">
        <f t="shared" si="19"/>
        <v>100.75403643399203</v>
      </c>
      <c r="U99" s="27">
        <v>1.08491</v>
      </c>
      <c r="V99" s="21">
        <f>IF(U99="","",IF(K99="Long",U99-Q99,Q99-U99))</f>
        <v>1.0299999999998644E-3</v>
      </c>
      <c r="W99" s="23">
        <f t="shared" si="13"/>
        <v>266.09399365889283</v>
      </c>
      <c r="X99" s="24">
        <f t="shared" si="17"/>
        <v>2.6410256410245316</v>
      </c>
      <c r="Y99" s="12" t="s">
        <v>271</v>
      </c>
      <c r="Z99" s="28">
        <v>1.08619</v>
      </c>
      <c r="AA99" s="25">
        <v>-8.56</v>
      </c>
      <c r="AB99" s="25">
        <v>0</v>
      </c>
      <c r="AC99" s="25">
        <v>-71.349999999999994</v>
      </c>
      <c r="AD99" s="52">
        <f t="shared" si="18"/>
        <v>-79.91</v>
      </c>
      <c r="AE99" s="51">
        <f>IF(Z99="","",IF(K99="Long",Z99-Q99,Q99-Z99))</f>
        <v>-2.5000000000008349E-4</v>
      </c>
      <c r="AF99" s="53">
        <f>IF(AE99="","",AC99*O99/T99)</f>
        <v>-7.0816021397558807E-3</v>
      </c>
      <c r="AG99" s="146">
        <f>M99+AD99</f>
        <v>9995.4936433992025</v>
      </c>
      <c r="AH99" s="2"/>
      <c r="AI99" s="2"/>
      <c r="AJ99" s="2"/>
      <c r="AK99" s="2"/>
      <c r="AL99" s="2"/>
    </row>
    <row r="100" spans="1:38">
      <c r="A100" s="34"/>
      <c r="B100" s="58" t="s">
        <v>260</v>
      </c>
      <c r="C100" s="142">
        <v>95</v>
      </c>
      <c r="D100" s="11" t="s">
        <v>82</v>
      </c>
      <c r="E100" s="12" t="s">
        <v>271</v>
      </c>
      <c r="F100" s="13" t="s">
        <v>266</v>
      </c>
      <c r="G100" s="13" t="s">
        <v>56</v>
      </c>
      <c r="H100" s="29" t="s">
        <v>59</v>
      </c>
      <c r="I100" s="14" t="s">
        <v>257</v>
      </c>
      <c r="J100" s="15" t="s">
        <v>80</v>
      </c>
      <c r="K100" s="16" t="s">
        <v>68</v>
      </c>
      <c r="L100" s="40" t="s">
        <v>67</v>
      </c>
      <c r="M100" s="17">
        <f>AG99</f>
        <v>9995.4936433992025</v>
      </c>
      <c r="N100" s="18">
        <f t="shared" si="12"/>
        <v>99.954936433992032</v>
      </c>
      <c r="O100" s="19">
        <v>0.01</v>
      </c>
      <c r="P100" s="20"/>
      <c r="Q100" s="26">
        <v>1.0754600000000001</v>
      </c>
      <c r="R100" s="28">
        <v>1.0748899999999999</v>
      </c>
      <c r="S100" s="21">
        <f>IF(R100="","",IF(K100="Long",Q100-R100,R100-Q100))</f>
        <v>5.7000000000018147E-4</v>
      </c>
      <c r="T100" s="22">
        <f t="shared" si="19"/>
        <v>99.954936433992032</v>
      </c>
      <c r="U100" s="27">
        <v>1.07785</v>
      </c>
      <c r="V100" s="21">
        <f>IF(U100="","",IF(K100="Long",U100-Q100,Q100-U100))</f>
        <v>2.3899999999998922E-3</v>
      </c>
      <c r="W100" s="23">
        <f t="shared" si="13"/>
        <v>419.10929487220022</v>
      </c>
      <c r="X100" s="24">
        <f t="shared" si="17"/>
        <v>4.1929824561388269</v>
      </c>
      <c r="Y100" s="12" t="s">
        <v>271</v>
      </c>
      <c r="Z100" s="28">
        <v>1.0754600000000001</v>
      </c>
      <c r="AA100" s="25">
        <v>-5.6</v>
      </c>
      <c r="AB100" s="25">
        <v>0</v>
      </c>
      <c r="AC100" s="25">
        <v>-60.4</v>
      </c>
      <c r="AD100" s="52">
        <f t="shared" si="18"/>
        <v>-66</v>
      </c>
      <c r="AE100" s="51">
        <f>IF(Z100="","",IF(K100="Long",Z100-Q100,Q100-Z100))</f>
        <v>0</v>
      </c>
      <c r="AF100" s="53">
        <f>IF(AE100="","",AC100*O100/T100)</f>
        <v>-6.0427230664977499E-3</v>
      </c>
      <c r="AG100" s="146">
        <f>M100+AD100</f>
        <v>9929.4936433992025</v>
      </c>
      <c r="AH100" s="2"/>
      <c r="AI100" s="2"/>
      <c r="AJ100" s="2"/>
      <c r="AK100" s="2"/>
      <c r="AL100" s="2"/>
    </row>
    <row r="101" spans="1:38">
      <c r="A101" s="34"/>
      <c r="B101" s="58" t="s">
        <v>260</v>
      </c>
      <c r="C101" s="142">
        <v>96</v>
      </c>
      <c r="D101" s="11" t="s">
        <v>48</v>
      </c>
      <c r="E101" s="12" t="s">
        <v>272</v>
      </c>
      <c r="F101" s="13" t="s">
        <v>256</v>
      </c>
      <c r="G101" s="13" t="s">
        <v>56</v>
      </c>
      <c r="H101" s="29" t="s">
        <v>79</v>
      </c>
      <c r="I101" s="14" t="s">
        <v>257</v>
      </c>
      <c r="J101" s="15" t="s">
        <v>80</v>
      </c>
      <c r="K101" s="16" t="s">
        <v>47</v>
      </c>
      <c r="L101" s="40" t="s">
        <v>52</v>
      </c>
      <c r="M101" s="17">
        <f>AG100</f>
        <v>9929.4936433992025</v>
      </c>
      <c r="N101" s="18">
        <f t="shared" si="12"/>
        <v>99.294936433992021</v>
      </c>
      <c r="O101" s="19">
        <v>0.01</v>
      </c>
      <c r="P101" s="20"/>
      <c r="Q101" s="26">
        <v>1.2571300000000001</v>
      </c>
      <c r="R101" s="28">
        <v>1.25753</v>
      </c>
      <c r="S101" s="21">
        <f>IF(R101="","",IF(K101="Long",Q101-R101,R101-Q101))</f>
        <v>3.9999999999995595E-4</v>
      </c>
      <c r="T101" s="22">
        <f t="shared" si="19"/>
        <v>99.294936433992021</v>
      </c>
      <c r="U101" s="27">
        <v>1.2567299999999999</v>
      </c>
      <c r="V101" s="21">
        <f>IF(U101="","",IF(K101="Long",U101-Q101,Q101-U101))</f>
        <v>4.0000000000017799E-4</v>
      </c>
      <c r="W101" s="23">
        <f t="shared" si="13"/>
        <v>99.294936434047145</v>
      </c>
      <c r="X101" s="24">
        <f t="shared" si="17"/>
        <v>1.0000000000005551</v>
      </c>
      <c r="Y101" s="12" t="s">
        <v>272</v>
      </c>
      <c r="Z101" s="28">
        <f>U101</f>
        <v>1.2567299999999999</v>
      </c>
      <c r="AA101" s="25">
        <v>-7.08</v>
      </c>
      <c r="AB101" s="25">
        <v>0</v>
      </c>
      <c r="AC101" s="25">
        <f>W101</f>
        <v>99.294936434047145</v>
      </c>
      <c r="AD101" s="52">
        <f t="shared" si="18"/>
        <v>92.214936434047146</v>
      </c>
      <c r="AE101" s="51">
        <f>IF(Z101="","",IF(K101="Long",Z101-Q101,Q101-Z101))</f>
        <v>4.0000000000017799E-4</v>
      </c>
      <c r="AF101" s="53">
        <f>IF(AE101="","",AC101*O101/T101)</f>
        <v>1.0000000000005551E-2</v>
      </c>
      <c r="AG101" s="146">
        <f>M101+AD101</f>
        <v>10021.70857983325</v>
      </c>
      <c r="AH101" s="2"/>
      <c r="AI101" s="2"/>
      <c r="AJ101" s="2"/>
      <c r="AK101" s="2"/>
      <c r="AL101" s="2"/>
    </row>
    <row r="102" spans="1:38">
      <c r="A102" s="34"/>
      <c r="B102" s="58" t="s">
        <v>260</v>
      </c>
      <c r="C102" s="142">
        <v>97</v>
      </c>
      <c r="D102" s="11" t="s">
        <v>69</v>
      </c>
      <c r="E102" s="12" t="s">
        <v>273</v>
      </c>
      <c r="F102" s="13" t="s">
        <v>256</v>
      </c>
      <c r="G102" s="13" t="s">
        <v>56</v>
      </c>
      <c r="H102" s="29" t="s">
        <v>79</v>
      </c>
      <c r="I102" s="14" t="s">
        <v>257</v>
      </c>
      <c r="J102" s="15" t="s">
        <v>80</v>
      </c>
      <c r="K102" s="16" t="s">
        <v>47</v>
      </c>
      <c r="L102" s="40" t="s">
        <v>52</v>
      </c>
      <c r="M102" s="17">
        <f>AG101</f>
        <v>10021.70857983325</v>
      </c>
      <c r="N102" s="18">
        <f t="shared" si="12"/>
        <v>100.2170857983325</v>
      </c>
      <c r="O102" s="19">
        <v>0.01</v>
      </c>
      <c r="P102" s="20"/>
      <c r="Q102" s="26">
        <v>1.25427</v>
      </c>
      <c r="R102" s="28">
        <v>1.2547699999999999</v>
      </c>
      <c r="S102" s="21">
        <f>IF(R102="","",IF(K102="Long",Q102-R102,R102-Q102))</f>
        <v>4.9999999999994493E-4</v>
      </c>
      <c r="T102" s="22">
        <f t="shared" si="19"/>
        <v>100.2170857983325</v>
      </c>
      <c r="U102" s="27">
        <v>1.25376</v>
      </c>
      <c r="V102" s="21">
        <f>IF(U102="","",IF(K102="Long",U102-Q102,Q102-U102))</f>
        <v>5.1000000000001044E-4</v>
      </c>
      <c r="W102" s="23">
        <f t="shared" si="13"/>
        <v>102.22142751431251</v>
      </c>
      <c r="X102" s="24">
        <f t="shared" si="17"/>
        <v>1.0200000000001332</v>
      </c>
      <c r="Y102" s="12" t="s">
        <v>273</v>
      </c>
      <c r="Z102" s="28">
        <f>U102</f>
        <v>1.25376</v>
      </c>
      <c r="AA102" s="25">
        <v>-6.54</v>
      </c>
      <c r="AB102" s="25">
        <v>0</v>
      </c>
      <c r="AC102" s="25">
        <f>W102</f>
        <v>102.22142751431251</v>
      </c>
      <c r="AD102" s="52">
        <f t="shared" si="18"/>
        <v>95.681427514312503</v>
      </c>
      <c r="AE102" s="51">
        <f>IF(Z102="","",IF(K102="Long",Z102-Q102,Q102-Z102))</f>
        <v>5.1000000000001044E-4</v>
      </c>
      <c r="AF102" s="53">
        <f>IF(AE102="","",AC102*O102/T102)</f>
        <v>1.0200000000001333E-2</v>
      </c>
      <c r="AG102" s="146">
        <f>M102+AD102</f>
        <v>10117.390007347563</v>
      </c>
      <c r="AH102" s="2"/>
      <c r="AI102" s="2"/>
      <c r="AJ102" s="2"/>
      <c r="AK102" s="2"/>
      <c r="AL102" s="2"/>
    </row>
    <row r="103" spans="1:38">
      <c r="A103" s="34"/>
      <c r="B103" s="58" t="s">
        <v>260</v>
      </c>
      <c r="C103" s="54">
        <v>98</v>
      </c>
      <c r="D103" s="11" t="s">
        <v>69</v>
      </c>
      <c r="E103" s="12" t="s">
        <v>273</v>
      </c>
      <c r="F103" s="13" t="s">
        <v>266</v>
      </c>
      <c r="G103" s="13" t="s">
        <v>56</v>
      </c>
      <c r="H103" s="29" t="s">
        <v>59</v>
      </c>
      <c r="I103" s="14" t="s">
        <v>257</v>
      </c>
      <c r="J103" s="15" t="s">
        <v>80</v>
      </c>
      <c r="K103" s="16" t="s">
        <v>47</v>
      </c>
      <c r="L103" s="40" t="s">
        <v>67</v>
      </c>
      <c r="M103" s="17">
        <f>AG102</f>
        <v>10117.390007347563</v>
      </c>
      <c r="N103" s="18">
        <f t="shared" si="12"/>
        <v>101.17390007347564</v>
      </c>
      <c r="O103" s="19">
        <v>0.01</v>
      </c>
      <c r="P103" s="20"/>
      <c r="Q103" s="26">
        <v>1.0775300000000001</v>
      </c>
      <c r="R103" s="28">
        <v>1.07789</v>
      </c>
      <c r="S103" s="21">
        <f>IF(R103="","",IF(K103="Long",Q103-R103,R103-Q103))</f>
        <v>3.5999999999991594E-4</v>
      </c>
      <c r="T103" s="22">
        <f t="shared" si="19"/>
        <v>101.17390007347564</v>
      </c>
      <c r="U103" s="27">
        <v>1.07717</v>
      </c>
      <c r="V103" s="21">
        <f>IF(U103="","",IF(K103="Long",U103-Q103,Q103-U103))</f>
        <v>3.6000000000013799E-4</v>
      </c>
      <c r="W103" s="23">
        <f t="shared" si="13"/>
        <v>101.17390007353805</v>
      </c>
      <c r="X103" s="24">
        <f t="shared" si="17"/>
        <v>1.0000000000006168</v>
      </c>
      <c r="Y103" s="12" t="s">
        <v>273</v>
      </c>
      <c r="Z103" s="28">
        <f>R103</f>
        <v>1.07789</v>
      </c>
      <c r="AA103" s="25">
        <v>-8.82</v>
      </c>
      <c r="AB103" s="25">
        <v>0</v>
      </c>
      <c r="AC103" s="25">
        <f>-T103</f>
        <v>-101.17390007347564</v>
      </c>
      <c r="AD103" s="52">
        <f t="shared" si="18"/>
        <v>-109.99390007347563</v>
      </c>
      <c r="AE103" s="51">
        <f>IF(Z103="","",IF(K103="Long",Z103-Q103,Q103-Z103))</f>
        <v>-3.5999999999991594E-4</v>
      </c>
      <c r="AF103" s="53">
        <f>IF(AE103="","",AC103*O103/T103)</f>
        <v>-0.01</v>
      </c>
      <c r="AG103" s="146">
        <f>M103+AD103</f>
        <v>10007.396107274088</v>
      </c>
      <c r="AH103" s="2"/>
      <c r="AI103" s="2"/>
      <c r="AJ103" s="2"/>
      <c r="AK103" s="2"/>
      <c r="AL103" s="2"/>
    </row>
    <row r="104" spans="1:38">
      <c r="A104" s="34"/>
      <c r="B104" s="58" t="s">
        <v>260</v>
      </c>
      <c r="C104" s="54">
        <v>99</v>
      </c>
      <c r="D104" s="11" t="s">
        <v>82</v>
      </c>
      <c r="E104" s="12" t="s">
        <v>274</v>
      </c>
      <c r="F104" s="13" t="s">
        <v>266</v>
      </c>
      <c r="G104" s="13" t="s">
        <v>56</v>
      </c>
      <c r="H104" s="29" t="s">
        <v>79</v>
      </c>
      <c r="I104" s="14" t="s">
        <v>257</v>
      </c>
      <c r="J104" s="15" t="s">
        <v>80</v>
      </c>
      <c r="K104" s="16" t="s">
        <v>68</v>
      </c>
      <c r="L104" s="40" t="s">
        <v>67</v>
      </c>
      <c r="M104" s="17">
        <f>AG103</f>
        <v>10007.396107274088</v>
      </c>
      <c r="N104" s="18">
        <f t="shared" si="12"/>
        <v>100.07396107274087</v>
      </c>
      <c r="O104" s="19">
        <v>0.01</v>
      </c>
      <c r="P104" s="20"/>
      <c r="Q104" s="26">
        <v>1.2478800000000001</v>
      </c>
      <c r="R104" s="28">
        <v>1.2474099999999999</v>
      </c>
      <c r="S104" s="21">
        <f>IF(R104="","",IF(K104="Long",Q104-R104,R104-Q104))</f>
        <v>4.7000000000019249E-4</v>
      </c>
      <c r="T104" s="22">
        <f t="shared" si="19"/>
        <v>100.07396107274087</v>
      </c>
      <c r="U104" s="27">
        <v>1.2484200000000001</v>
      </c>
      <c r="V104" s="21">
        <f>IF(U104="","",IF(K104="Long",U104-Q104,Q104-U104))</f>
        <v>5.3999999999998494E-4</v>
      </c>
      <c r="W104" s="23">
        <f t="shared" si="13"/>
        <v>114.97859357288603</v>
      </c>
      <c r="X104" s="24">
        <f t="shared" si="17"/>
        <v>1.1489361702122634</v>
      </c>
      <c r="Y104" s="12" t="s">
        <v>274</v>
      </c>
      <c r="Z104" s="28">
        <v>1.2484200000000001</v>
      </c>
      <c r="AA104" s="25">
        <v>-6.68</v>
      </c>
      <c r="AB104" s="25">
        <v>0</v>
      </c>
      <c r="AC104" s="25">
        <f>-T104</f>
        <v>-100.07396107274087</v>
      </c>
      <c r="AD104" s="52">
        <f t="shared" si="18"/>
        <v>-106.75396107274088</v>
      </c>
      <c r="AE104" s="51">
        <f>IF(Z104="","",IF(K104="Long",Z104-Q104,Q104-Z104))</f>
        <v>5.3999999999998494E-4</v>
      </c>
      <c r="AF104" s="53">
        <f>IF(AE104="","",AC104*O104/T104)</f>
        <v>-0.01</v>
      </c>
      <c r="AG104" s="146">
        <f>M104+AD104</f>
        <v>9900.6421462013459</v>
      </c>
      <c r="AH104" s="2"/>
      <c r="AI104" s="2"/>
      <c r="AJ104" s="2"/>
      <c r="AK104" s="2"/>
      <c r="AL104" s="2"/>
    </row>
    <row r="105" spans="1:38">
      <c r="A105" s="34"/>
      <c r="B105" s="58" t="s">
        <v>260</v>
      </c>
      <c r="C105" s="54">
        <v>100</v>
      </c>
      <c r="D105" s="11" t="s">
        <v>94</v>
      </c>
      <c r="E105" s="12" t="s">
        <v>275</v>
      </c>
      <c r="F105" s="13" t="s">
        <v>256</v>
      </c>
      <c r="G105" s="13" t="s">
        <v>56</v>
      </c>
      <c r="H105" s="29" t="s">
        <v>79</v>
      </c>
      <c r="I105" s="14" t="s">
        <v>257</v>
      </c>
      <c r="J105" s="15" t="s">
        <v>80</v>
      </c>
      <c r="K105" s="16" t="s">
        <v>68</v>
      </c>
      <c r="L105" s="40" t="s">
        <v>67</v>
      </c>
      <c r="M105" s="17">
        <f>AG104</f>
        <v>9900.6421462013459</v>
      </c>
      <c r="N105" s="18">
        <f t="shared" si="12"/>
        <v>99.006421462013463</v>
      </c>
      <c r="O105" s="19">
        <v>0.01</v>
      </c>
      <c r="P105" s="20"/>
      <c r="Q105" s="26">
        <v>1.2477400000000001</v>
      </c>
      <c r="R105" s="28">
        <v>1.24729</v>
      </c>
      <c r="S105" s="21">
        <f>IF(R105="","",IF(K105="Long",Q105-R105,R105-Q105))</f>
        <v>4.5000000000006146E-4</v>
      </c>
      <c r="T105" s="22">
        <f t="shared" si="19"/>
        <v>99.006421462013463</v>
      </c>
      <c r="U105" s="27">
        <v>1.2481899999999999</v>
      </c>
      <c r="V105" s="21">
        <f>IF(U105="","",IF(K105="Long",U105-Q105,Q105-U105))</f>
        <v>4.4999999999983942E-4</v>
      </c>
      <c r="W105" s="23">
        <f t="shared" si="13"/>
        <v>99.006421461964621</v>
      </c>
      <c r="X105" s="24">
        <f t="shared" si="17"/>
        <v>0.99999999999950662</v>
      </c>
      <c r="Y105" s="12" t="s">
        <v>275</v>
      </c>
      <c r="Z105" s="28">
        <v>1.2474799999999999</v>
      </c>
      <c r="AA105" s="25">
        <v>-6.96</v>
      </c>
      <c r="AB105" s="25">
        <v>0</v>
      </c>
      <c r="AC105" s="25">
        <f>-T105</f>
        <v>-99.006421462013463</v>
      </c>
      <c r="AD105" s="52">
        <f t="shared" si="18"/>
        <v>-105.96642146201346</v>
      </c>
      <c r="AE105" s="51">
        <f>IF(Z105="","",IF(K105="Long",Z105-Q105,Q105-Z105))</f>
        <v>-2.60000000000149E-4</v>
      </c>
      <c r="AF105" s="53">
        <f>IF(AE105="","",AC105*O105/T105)</f>
        <v>-0.01</v>
      </c>
      <c r="AG105" s="146">
        <f>M105+AD105</f>
        <v>9794.6757247393325</v>
      </c>
      <c r="AH105" s="2"/>
      <c r="AI105" s="2"/>
      <c r="AJ105" s="2"/>
      <c r="AK105" s="2"/>
      <c r="AL105" s="2"/>
    </row>
    <row r="106" spans="1:38">
      <c r="A106" s="34"/>
      <c r="B106" s="58" t="s">
        <v>260</v>
      </c>
      <c r="C106" s="142">
        <v>101</v>
      </c>
      <c r="D106" s="11" t="s">
        <v>48</v>
      </c>
      <c r="E106" s="12" t="s">
        <v>276</v>
      </c>
      <c r="F106" s="13" t="s">
        <v>256</v>
      </c>
      <c r="G106" s="13" t="s">
        <v>56</v>
      </c>
      <c r="H106" s="29" t="s">
        <v>79</v>
      </c>
      <c r="I106" s="14" t="s">
        <v>257</v>
      </c>
      <c r="J106" s="15" t="s">
        <v>119</v>
      </c>
      <c r="K106" s="16" t="s">
        <v>47</v>
      </c>
      <c r="L106" s="40" t="s">
        <v>67</v>
      </c>
      <c r="M106" s="17">
        <f>AG105</f>
        <v>9794.6757247393325</v>
      </c>
      <c r="N106" s="18">
        <f t="shared" si="12"/>
        <v>97.946757247393322</v>
      </c>
      <c r="O106" s="19">
        <v>0.01</v>
      </c>
      <c r="P106" s="20"/>
      <c r="Q106" s="26">
        <v>1.25241</v>
      </c>
      <c r="R106" s="28">
        <v>1.25282</v>
      </c>
      <c r="S106" s="21">
        <f>IF(R106="","",IF(K106="Long",Q106-R106,R106-Q106))</f>
        <v>4.1000000000002146E-4</v>
      </c>
      <c r="T106" s="22">
        <f t="shared" si="19"/>
        <v>97.946757247393322</v>
      </c>
      <c r="U106" s="27">
        <v>1.252</v>
      </c>
      <c r="V106" s="21">
        <f>IF(U106="","",IF(K106="Long",U106-Q106,Q106-U106))</f>
        <v>4.1000000000002146E-4</v>
      </c>
      <c r="W106" s="23">
        <f t="shared" si="13"/>
        <v>97.946757247393322</v>
      </c>
      <c r="X106" s="24">
        <f t="shared" si="17"/>
        <v>1</v>
      </c>
      <c r="Y106" s="12" t="s">
        <v>276</v>
      </c>
      <c r="Z106" s="28">
        <f>R106</f>
        <v>1.25282</v>
      </c>
      <c r="AA106" s="25">
        <v>-7.4</v>
      </c>
      <c r="AB106" s="25">
        <v>0</v>
      </c>
      <c r="AC106" s="25">
        <f>-T106</f>
        <v>-97.946757247393322</v>
      </c>
      <c r="AD106" s="52">
        <f t="shared" si="18"/>
        <v>-105.34675724739333</v>
      </c>
      <c r="AE106" s="51">
        <f>IF(Z106="","",IF(K106="Long",Z106-Q106,Q106-Z106))</f>
        <v>-4.1000000000002146E-4</v>
      </c>
      <c r="AF106" s="53">
        <f>IF(AE106="","",AC106*O106/T106)</f>
        <v>-0.01</v>
      </c>
      <c r="AG106" s="146">
        <f>M106+AD106</f>
        <v>9689.3289674919397</v>
      </c>
      <c r="AH106" s="2"/>
      <c r="AI106" s="2"/>
      <c r="AJ106" s="2"/>
      <c r="AK106" s="2"/>
      <c r="AL106" s="2"/>
    </row>
    <row r="107" spans="1:38">
      <c r="A107" s="34"/>
      <c r="B107" s="58" t="s">
        <v>260</v>
      </c>
      <c r="C107" s="142">
        <v>102</v>
      </c>
      <c r="D107" s="11" t="s">
        <v>48</v>
      </c>
      <c r="E107" s="12" t="s">
        <v>276</v>
      </c>
      <c r="F107" s="13" t="s">
        <v>266</v>
      </c>
      <c r="G107" s="13" t="s">
        <v>56</v>
      </c>
      <c r="H107" s="29" t="s">
        <v>79</v>
      </c>
      <c r="I107" s="14" t="s">
        <v>257</v>
      </c>
      <c r="J107" s="15" t="s">
        <v>119</v>
      </c>
      <c r="K107" s="16" t="s">
        <v>47</v>
      </c>
      <c r="L107" s="40" t="s">
        <v>67</v>
      </c>
      <c r="M107" s="17">
        <f>AG106</f>
        <v>9689.3289674919397</v>
      </c>
      <c r="N107" s="18">
        <f t="shared" si="12"/>
        <v>96.893289674919401</v>
      </c>
      <c r="O107" s="19">
        <v>0.01</v>
      </c>
      <c r="P107" s="20"/>
      <c r="Q107" s="26">
        <v>1.2559100000000001</v>
      </c>
      <c r="R107" s="28">
        <v>1.25647</v>
      </c>
      <c r="S107" s="21">
        <f>IF(R107="","",IF(K107="Long",Q107-R107,R107-Q107))</f>
        <v>5.5999999999989392E-4</v>
      </c>
      <c r="T107" s="22">
        <f t="shared" si="19"/>
        <v>96.893289674919401</v>
      </c>
      <c r="U107" s="27">
        <v>1.25535</v>
      </c>
      <c r="V107" s="21">
        <f>IF(U107="","",IF(K107="Long",U107-Q107,Q107-U107))</f>
        <v>5.6000000000011596E-4</v>
      </c>
      <c r="W107" s="23">
        <f t="shared" si="13"/>
        <v>96.893289674957828</v>
      </c>
      <c r="X107" s="24">
        <f t="shared" si="17"/>
        <v>1.0000000000003966</v>
      </c>
      <c r="Y107" s="12" t="s">
        <v>276</v>
      </c>
      <c r="Z107" s="28">
        <f>R107</f>
        <v>1.25647</v>
      </c>
      <c r="AA107" s="25">
        <v>-5.61</v>
      </c>
      <c r="AB107" s="25">
        <v>0</v>
      </c>
      <c r="AC107" s="25">
        <f>-T107</f>
        <v>-96.893289674919401</v>
      </c>
      <c r="AD107" s="52">
        <f t="shared" si="18"/>
        <v>-102.5032896749194</v>
      </c>
      <c r="AE107" s="51">
        <f>IF(Z107="","",IF(K107="Long",Z107-Q107,Q107-Z107))</f>
        <v>-5.5999999999989392E-4</v>
      </c>
      <c r="AF107" s="53">
        <f>IF(AE107="","",AC107*O107/T107)</f>
        <v>-0.01</v>
      </c>
      <c r="AG107" s="146">
        <f>M107+AD107</f>
        <v>9586.8256778170198</v>
      </c>
      <c r="AH107" s="2"/>
      <c r="AI107" s="2"/>
      <c r="AJ107" s="2"/>
      <c r="AK107" s="2"/>
      <c r="AL107" s="2"/>
    </row>
    <row r="108" spans="1:38">
      <c r="A108" s="34"/>
      <c r="B108" s="58" t="s">
        <v>260</v>
      </c>
      <c r="C108" s="142">
        <v>103</v>
      </c>
      <c r="D108" s="11" t="s">
        <v>48</v>
      </c>
      <c r="E108" s="12" t="s">
        <v>277</v>
      </c>
      <c r="F108" s="13" t="s">
        <v>266</v>
      </c>
      <c r="G108" s="13" t="s">
        <v>56</v>
      </c>
      <c r="H108" s="29" t="s">
        <v>59</v>
      </c>
      <c r="I108" s="14" t="s">
        <v>257</v>
      </c>
      <c r="J108" s="15" t="s">
        <v>80</v>
      </c>
      <c r="K108" s="16" t="s">
        <v>68</v>
      </c>
      <c r="L108" s="40" t="s">
        <v>52</v>
      </c>
      <c r="M108" s="17">
        <f>AG107</f>
        <v>9586.8256778170198</v>
      </c>
      <c r="N108" s="18">
        <f t="shared" si="12"/>
        <v>95.868256778170206</v>
      </c>
      <c r="O108" s="19">
        <v>0.01</v>
      </c>
      <c r="P108" s="20"/>
      <c r="Q108" s="26">
        <v>1.0859300000000001</v>
      </c>
      <c r="R108" s="28">
        <v>1.0855600000000001</v>
      </c>
      <c r="S108" s="21">
        <f>IF(R108="","",IF(K108="Long",Q108-R108,R108-Q108))</f>
        <v>3.6999999999998145E-4</v>
      </c>
      <c r="T108" s="22">
        <f t="shared" si="19"/>
        <v>95.868256778170206</v>
      </c>
      <c r="U108" s="27">
        <v>1.0865499999999999</v>
      </c>
      <c r="V108" s="21">
        <f>IF(U108="","",IF(K108="Long",U108-Q108,Q108-U108))</f>
        <v>6.199999999998429E-4</v>
      </c>
      <c r="W108" s="23">
        <f t="shared" si="13"/>
        <v>160.64410595257687</v>
      </c>
      <c r="X108" s="24">
        <f t="shared" si="17"/>
        <v>1.675675675675335</v>
      </c>
      <c r="Y108" s="12" t="s">
        <v>277</v>
      </c>
      <c r="Z108" s="28">
        <f>U108</f>
        <v>1.0865499999999999</v>
      </c>
      <c r="AA108" s="25">
        <v>-8.23</v>
      </c>
      <c r="AB108" s="25">
        <v>0</v>
      </c>
      <c r="AC108" s="25">
        <f>W108</f>
        <v>160.64410595257687</v>
      </c>
      <c r="AD108" s="52">
        <f t="shared" si="18"/>
        <v>152.41410595257688</v>
      </c>
      <c r="AE108" s="51">
        <f>IF(Z108="","",IF(K108="Long",Z108-Q108,Q108-Z108))</f>
        <v>6.199999999998429E-4</v>
      </c>
      <c r="AF108" s="53">
        <f>IF(AE108="","",AC108*O108/T108)</f>
        <v>1.6756756756753349E-2</v>
      </c>
      <c r="AG108" s="146">
        <f>M108+AD108</f>
        <v>9739.2397837695971</v>
      </c>
      <c r="AH108" s="2"/>
      <c r="AI108" s="2"/>
      <c r="AJ108" s="2"/>
      <c r="AK108" s="2"/>
      <c r="AL108" s="2"/>
    </row>
    <row r="109" spans="1:38">
      <c r="A109" s="34"/>
      <c r="B109" s="58" t="s">
        <v>260</v>
      </c>
      <c r="C109" s="142">
        <v>104</v>
      </c>
      <c r="D109" s="11" t="s">
        <v>48</v>
      </c>
      <c r="E109" s="12" t="s">
        <v>278</v>
      </c>
      <c r="F109" s="13" t="s">
        <v>266</v>
      </c>
      <c r="G109" s="13" t="s">
        <v>56</v>
      </c>
      <c r="H109" s="29" t="s">
        <v>59</v>
      </c>
      <c r="I109" s="14" t="s">
        <v>257</v>
      </c>
      <c r="J109" s="15" t="s">
        <v>80</v>
      </c>
      <c r="K109" s="16" t="s">
        <v>68</v>
      </c>
      <c r="L109" s="40" t="s">
        <v>209</v>
      </c>
      <c r="M109" s="17">
        <f>AG108</f>
        <v>9739.2397837695971</v>
      </c>
      <c r="N109" s="18">
        <f t="shared" si="12"/>
        <v>97.392397837695967</v>
      </c>
      <c r="O109" s="19">
        <v>0.01</v>
      </c>
      <c r="P109" s="20"/>
      <c r="Q109" s="26">
        <v>1.0847</v>
      </c>
      <c r="R109" s="28">
        <v>1.08432</v>
      </c>
      <c r="S109" s="21">
        <f>IF(R109="","",IF(K109="Long",Q109-R109,R109-Q109))</f>
        <v>3.8000000000004697E-4</v>
      </c>
      <c r="T109" s="22">
        <f t="shared" si="19"/>
        <v>97.392397837695967</v>
      </c>
      <c r="U109" s="27">
        <v>1.0856399999999999</v>
      </c>
      <c r="V109" s="21">
        <f>IF(U109="","",IF(K109="Long",U109-Q109,Q109-U109))</f>
        <v>9.3999999999994088E-4</v>
      </c>
      <c r="W109" s="23">
        <f t="shared" si="13"/>
        <v>240.91803675636089</v>
      </c>
      <c r="X109" s="24">
        <f t="shared" si="17"/>
        <v>2.4736842105258545</v>
      </c>
      <c r="Y109" s="12" t="s">
        <v>278</v>
      </c>
      <c r="Z109" s="28">
        <v>1.0849599999999999</v>
      </c>
      <c r="AA109" s="25">
        <v>-8.1</v>
      </c>
      <c r="AB109" s="25">
        <v>0</v>
      </c>
      <c r="AC109" s="25">
        <v>57</v>
      </c>
      <c r="AD109" s="52">
        <f t="shared" si="18"/>
        <v>48.9</v>
      </c>
      <c r="AE109" s="51">
        <f>IF(Z109="","",IF(K109="Long",Z109-Q109,Q109-Z109))</f>
        <v>2.5999999999992696E-4</v>
      </c>
      <c r="AF109" s="53">
        <f>IF(AE109="","",AC109*O109/T109)</f>
        <v>5.8526128594749531E-3</v>
      </c>
      <c r="AG109" s="146">
        <f>M109+AD109</f>
        <v>9788.1397837695968</v>
      </c>
      <c r="AH109" s="2"/>
      <c r="AI109" s="2"/>
      <c r="AJ109" s="2"/>
      <c r="AK109" s="2"/>
      <c r="AL109" s="2"/>
    </row>
    <row r="110" spans="1:38">
      <c r="A110" s="34"/>
      <c r="B110" s="58" t="s">
        <v>260</v>
      </c>
      <c r="C110" s="142">
        <v>105</v>
      </c>
      <c r="D110" s="11" t="s">
        <v>94</v>
      </c>
      <c r="E110" s="12" t="s">
        <v>279</v>
      </c>
      <c r="F110" s="13" t="s">
        <v>256</v>
      </c>
      <c r="G110" s="13" t="s">
        <v>56</v>
      </c>
      <c r="H110" s="29" t="s">
        <v>76</v>
      </c>
      <c r="I110" s="14" t="s">
        <v>257</v>
      </c>
      <c r="J110" s="15" t="s">
        <v>80</v>
      </c>
      <c r="K110" s="16" t="s">
        <v>47</v>
      </c>
      <c r="L110" s="40" t="s">
        <v>52</v>
      </c>
      <c r="M110" s="17">
        <f>AG109</f>
        <v>9788.1397837695968</v>
      </c>
      <c r="N110" s="18">
        <f t="shared" si="12"/>
        <v>97.881397837695971</v>
      </c>
      <c r="O110" s="19">
        <v>0.01</v>
      </c>
      <c r="P110" s="20"/>
      <c r="Q110" s="26">
        <v>0.66083000000000003</v>
      </c>
      <c r="R110" s="28">
        <v>0.66112000000000004</v>
      </c>
      <c r="S110" s="21">
        <f>IF(R110="","",IF(K110="Long",Q110-R110,R110-Q110))</f>
        <v>2.9000000000001247E-4</v>
      </c>
      <c r="T110" s="22">
        <f t="shared" si="19"/>
        <v>97.881397837695971</v>
      </c>
      <c r="U110" s="27">
        <v>0.66052999999999995</v>
      </c>
      <c r="V110" s="21">
        <f>IF(U110="","",IF(K110="Long",U110-Q110,Q110-U110))</f>
        <v>3.0000000000007798E-4</v>
      </c>
      <c r="W110" s="23">
        <f t="shared" si="13"/>
        <v>101.2566184528109</v>
      </c>
      <c r="X110" s="24">
        <f t="shared" si="17"/>
        <v>1.034482758620914</v>
      </c>
      <c r="Y110" s="12" t="s">
        <v>279</v>
      </c>
      <c r="Z110" s="28">
        <f>U110</f>
        <v>0.66052999999999995</v>
      </c>
      <c r="AA110" s="25">
        <v>-9.1</v>
      </c>
      <c r="AB110" s="25">
        <v>0</v>
      </c>
      <c r="AC110" s="25">
        <f>T110</f>
        <v>97.881397837695971</v>
      </c>
      <c r="AD110" s="52">
        <f t="shared" si="18"/>
        <v>88.781397837695977</v>
      </c>
      <c r="AE110" s="51">
        <f>IF(Z110="","",IF(K110="Long",Z110-Q110,Q110-Z110))</f>
        <v>3.0000000000007798E-4</v>
      </c>
      <c r="AF110" s="53">
        <f>IF(AE110="","",AC110*O110/T110)</f>
        <v>0.01</v>
      </c>
      <c r="AG110" s="146">
        <f>M110+AD110</f>
        <v>9876.921181607293</v>
      </c>
      <c r="AH110" s="2"/>
      <c r="AI110" s="2"/>
      <c r="AJ110" s="2"/>
      <c r="AK110" s="2"/>
      <c r="AL110" s="2"/>
    </row>
    <row r="111" spans="1:38">
      <c r="A111" s="34"/>
      <c r="B111" s="58" t="s">
        <v>260</v>
      </c>
      <c r="C111" s="142">
        <v>106</v>
      </c>
      <c r="D111" s="11" t="s">
        <v>48</v>
      </c>
      <c r="E111" s="12" t="s">
        <v>280</v>
      </c>
      <c r="F111" s="13" t="s">
        <v>256</v>
      </c>
      <c r="G111" s="13" t="s">
        <v>56</v>
      </c>
      <c r="H111" s="29" t="s">
        <v>79</v>
      </c>
      <c r="I111" s="14" t="s">
        <v>257</v>
      </c>
      <c r="J111" s="15" t="s">
        <v>80</v>
      </c>
      <c r="K111" s="16" t="s">
        <v>68</v>
      </c>
      <c r="L111" s="40" t="s">
        <v>67</v>
      </c>
      <c r="M111" s="17">
        <f>AG110</f>
        <v>9876.921181607293</v>
      </c>
      <c r="N111" s="18">
        <f t="shared" si="12"/>
        <v>98.769211816072925</v>
      </c>
      <c r="O111" s="19">
        <v>0.01</v>
      </c>
      <c r="P111" s="20"/>
      <c r="Q111" s="26">
        <v>1.2736700000000001</v>
      </c>
      <c r="R111" s="28">
        <v>1.27325</v>
      </c>
      <c r="S111" s="21">
        <f>IF(R111="","",IF(K111="Long",Q111-R111,R111-Q111))</f>
        <v>4.2000000000008697E-4</v>
      </c>
      <c r="T111" s="22">
        <f t="shared" si="19"/>
        <v>98.769211816072925</v>
      </c>
      <c r="U111" s="27">
        <v>1.2740899999999999</v>
      </c>
      <c r="V111" s="21">
        <f>IF(U111="","",IF(K111="Long",U111-Q111,Q111-U111))</f>
        <v>4.1999999999986493E-4</v>
      </c>
      <c r="W111" s="23">
        <f t="shared" si="13"/>
        <v>98.7692118160207</v>
      </c>
      <c r="X111" s="24">
        <f t="shared" si="17"/>
        <v>0.99999999999947131</v>
      </c>
      <c r="Y111" s="12" t="s">
        <v>280</v>
      </c>
      <c r="Z111" s="28">
        <v>1.27352</v>
      </c>
      <c r="AA111" s="25">
        <v>-7.08</v>
      </c>
      <c r="AB111" s="25">
        <v>0</v>
      </c>
      <c r="AC111" s="25">
        <v>-61.32</v>
      </c>
      <c r="AD111" s="52">
        <f t="shared" si="18"/>
        <v>-68.400000000000006</v>
      </c>
      <c r="AE111" s="51">
        <f>IF(Z111="","",IF(K111="Long",Z111-Q111,Q111-Z111))</f>
        <v>-1.500000000000945E-4</v>
      </c>
      <c r="AF111" s="53">
        <f>IF(AE111="","",AC111*O111/T111)</f>
        <v>-6.2084124063062802E-3</v>
      </c>
      <c r="AG111" s="146">
        <f>M111+AD111</f>
        <v>9808.5211816072933</v>
      </c>
      <c r="AH111" s="2"/>
      <c r="AI111" s="2"/>
      <c r="AJ111" s="2"/>
      <c r="AK111" s="2"/>
      <c r="AL111" s="2"/>
    </row>
    <row r="112" spans="1:38">
      <c r="A112" s="34"/>
      <c r="B112" s="58" t="s">
        <v>260</v>
      </c>
      <c r="C112" s="142">
        <v>107</v>
      </c>
      <c r="D112" s="11" t="s">
        <v>48</v>
      </c>
      <c r="E112" s="12" t="s">
        <v>280</v>
      </c>
      <c r="F112" s="13" t="s">
        <v>256</v>
      </c>
      <c r="G112" s="13" t="s">
        <v>56</v>
      </c>
      <c r="H112" s="29" t="s">
        <v>106</v>
      </c>
      <c r="I112" s="14" t="s">
        <v>257</v>
      </c>
      <c r="J112" s="15" t="s">
        <v>80</v>
      </c>
      <c r="K112" s="16" t="s">
        <v>47</v>
      </c>
      <c r="L112" s="40" t="s">
        <v>67</v>
      </c>
      <c r="M112" s="17">
        <f>AG111</f>
        <v>9808.5211816072933</v>
      </c>
      <c r="N112" s="18">
        <f t="shared" si="12"/>
        <v>98.085211816072942</v>
      </c>
      <c r="O112" s="19">
        <v>0.01</v>
      </c>
      <c r="P112" s="20"/>
      <c r="Q112" s="26">
        <v>1.3652299999999999</v>
      </c>
      <c r="R112" s="26">
        <v>1.36571</v>
      </c>
      <c r="S112" s="21">
        <f>IF(R112="","",IF(K112="Long",Q112-R112,R112-Q112))</f>
        <v>4.8000000000003595E-4</v>
      </c>
      <c r="T112" s="22">
        <f t="shared" si="19"/>
        <v>98.085211816072942</v>
      </c>
      <c r="U112" s="27">
        <v>1.36463</v>
      </c>
      <c r="V112" s="21">
        <f>IF(U112="","",IF(K112="Long",U112-Q112,Q112-U112))</f>
        <v>5.9999999999993392E-4</v>
      </c>
      <c r="W112" s="23">
        <f t="shared" si="13"/>
        <v>122.60651477006849</v>
      </c>
      <c r="X112" s="24">
        <f t="shared" si="17"/>
        <v>1.2499999999997686</v>
      </c>
      <c r="Y112" s="12" t="s">
        <v>280</v>
      </c>
      <c r="Z112" s="28">
        <f>R112</f>
        <v>1.36571</v>
      </c>
      <c r="AA112" s="25">
        <v>-8.82</v>
      </c>
      <c r="AB112" s="25">
        <v>0</v>
      </c>
      <c r="AC112" s="25">
        <f>-T112</f>
        <v>-98.085211816072942</v>
      </c>
      <c r="AD112" s="52">
        <f t="shared" si="18"/>
        <v>-106.90521181607295</v>
      </c>
      <c r="AE112" s="51">
        <f>IF(Z112="","",IF(K112="Long",Z112-Q112,Q112-Z112))</f>
        <v>-4.8000000000003595E-4</v>
      </c>
      <c r="AF112" s="53">
        <f>IF(AE112="","",AC112*O112/T112)</f>
        <v>-0.01</v>
      </c>
      <c r="AG112" s="146">
        <f>M112+AD112</f>
        <v>9701.6159697912208</v>
      </c>
      <c r="AH112" s="2"/>
      <c r="AI112" s="2"/>
      <c r="AJ112" s="2"/>
      <c r="AK112" s="2"/>
      <c r="AL112" s="2"/>
    </row>
    <row r="113" spans="1:38">
      <c r="A113" s="34"/>
      <c r="B113" s="58" t="s">
        <v>260</v>
      </c>
      <c r="C113" s="54">
        <v>108</v>
      </c>
      <c r="D113" s="11" t="s">
        <v>48</v>
      </c>
      <c r="E113" s="12" t="s">
        <v>280</v>
      </c>
      <c r="F113" s="13" t="s">
        <v>256</v>
      </c>
      <c r="G113" s="13" t="s">
        <v>56</v>
      </c>
      <c r="H113" s="29" t="s">
        <v>106</v>
      </c>
      <c r="I113" s="14" t="s">
        <v>257</v>
      </c>
      <c r="J113" s="15" t="s">
        <v>80</v>
      </c>
      <c r="K113" s="16" t="s">
        <v>47</v>
      </c>
      <c r="L113" s="148"/>
      <c r="M113" s="17">
        <f>AG112</f>
        <v>9701.6159697912208</v>
      </c>
      <c r="N113" s="18">
        <f t="shared" si="12"/>
        <v>97.016159697912215</v>
      </c>
      <c r="O113" s="19">
        <v>0.01</v>
      </c>
      <c r="P113" s="20"/>
      <c r="Q113" s="26">
        <v>1.3654599999999999</v>
      </c>
      <c r="R113" s="28">
        <v>1.3660000000000001</v>
      </c>
      <c r="S113" s="21">
        <f>IF(R113="","",IF(K113="Long",Q113-R113,R113-Q113))</f>
        <v>5.4000000000020698E-4</v>
      </c>
      <c r="T113" s="22">
        <f t="shared" si="19"/>
        <v>97.016159697912215</v>
      </c>
      <c r="U113" s="27">
        <v>1.36463</v>
      </c>
      <c r="V113" s="21">
        <f>IF(U113="","",IF(K113="Long",U113-Q113,Q113-U113))</f>
        <v>8.2999999999988638E-4</v>
      </c>
      <c r="W113" s="23">
        <f t="shared" si="13"/>
        <v>149.11743064671342</v>
      </c>
      <c r="X113" s="24">
        <f t="shared" si="17"/>
        <v>1.5370370370362374</v>
      </c>
      <c r="Y113" s="12" t="s">
        <v>280</v>
      </c>
      <c r="Z113" s="28">
        <f>Q113</f>
        <v>1.3654599999999999</v>
      </c>
      <c r="AA113" s="25">
        <v>-7.9</v>
      </c>
      <c r="AB113" s="25">
        <v>0</v>
      </c>
      <c r="AC113" s="25">
        <v>0</v>
      </c>
      <c r="AD113" s="52">
        <f t="shared" si="18"/>
        <v>-7.9</v>
      </c>
      <c r="AE113" s="51">
        <f>IF(Z113="","",IF(K113="Long",Z113-Q113,Q113-Z113))</f>
        <v>0</v>
      </c>
      <c r="AF113" s="53">
        <f>IF(AE113="","",AC113*O113/T113)</f>
        <v>0</v>
      </c>
      <c r="AG113" s="146">
        <f>M113+AD113</f>
        <v>9693.7159697912211</v>
      </c>
      <c r="AH113" s="2"/>
      <c r="AI113" s="2"/>
      <c r="AJ113" s="2"/>
      <c r="AK113" s="2"/>
      <c r="AL113" s="2"/>
    </row>
    <row r="114" spans="1:38">
      <c r="A114" s="34"/>
      <c r="B114" s="58" t="s">
        <v>260</v>
      </c>
      <c r="C114" s="54">
        <v>109</v>
      </c>
      <c r="D114" s="11" t="s">
        <v>69</v>
      </c>
      <c r="E114" s="12" t="s">
        <v>281</v>
      </c>
      <c r="F114" s="13" t="s">
        <v>256</v>
      </c>
      <c r="G114" s="13" t="s">
        <v>56</v>
      </c>
      <c r="H114" s="29" t="s">
        <v>76</v>
      </c>
      <c r="I114" s="14" t="s">
        <v>257</v>
      </c>
      <c r="J114" s="15" t="s">
        <v>80</v>
      </c>
      <c r="K114" s="16" t="s">
        <v>68</v>
      </c>
      <c r="L114" s="40" t="s">
        <v>67</v>
      </c>
      <c r="M114" s="17">
        <f>AG113</f>
        <v>9693.7159697912211</v>
      </c>
      <c r="N114" s="18">
        <f t="shared" si="12"/>
        <v>96.937159697912207</v>
      </c>
      <c r="O114" s="19">
        <v>0.01</v>
      </c>
      <c r="P114" s="20"/>
      <c r="Q114" s="26">
        <v>0.66637000000000002</v>
      </c>
      <c r="R114" s="28">
        <v>0.66601999999999995</v>
      </c>
      <c r="S114" s="21">
        <f>IF(R114="","",IF(K114="Long",Q114-R114,R114-Q114))</f>
        <v>3.5000000000007248E-4</v>
      </c>
      <c r="T114" s="22">
        <f t="shared" si="19"/>
        <v>96.937159697912207</v>
      </c>
      <c r="U114" s="27">
        <v>0.66707000000000005</v>
      </c>
      <c r="V114" s="21">
        <f>IF(U114="","",IF(K114="Long",U114-Q114,Q114-U114))</f>
        <v>7.0000000000003393E-4</v>
      </c>
      <c r="W114" s="23">
        <f t="shared" si="13"/>
        <v>193.87431939579366</v>
      </c>
      <c r="X114" s="24">
        <f t="shared" si="17"/>
        <v>1.9999999999996827</v>
      </c>
      <c r="Y114" s="12" t="s">
        <v>281</v>
      </c>
      <c r="Z114" s="28">
        <f>R114</f>
        <v>0.66601999999999995</v>
      </c>
      <c r="AA114" s="25">
        <v>-9.01</v>
      </c>
      <c r="AB114" s="25">
        <v>0</v>
      </c>
      <c r="AC114" s="25">
        <f>-T114</f>
        <v>-96.937159697912207</v>
      </c>
      <c r="AD114" s="52">
        <f t="shared" si="18"/>
        <v>-105.94715969791221</v>
      </c>
      <c r="AE114" s="51">
        <f>IF(Z114="","",IF(K114="Long",Z114-Q114,Q114-Z114))</f>
        <v>-3.5000000000007248E-4</v>
      </c>
      <c r="AF114" s="53">
        <f>IF(AE114="","",AC114*O114/T114)</f>
        <v>-0.01</v>
      </c>
      <c r="AG114" s="146">
        <f>M114+AD114</f>
        <v>9587.7688100933083</v>
      </c>
      <c r="AH114" s="2"/>
      <c r="AI114" s="2"/>
      <c r="AJ114" s="2"/>
      <c r="AK114" s="2"/>
      <c r="AL114" s="2"/>
    </row>
    <row r="115" spans="1:38">
      <c r="A115" s="34"/>
      <c r="B115" s="58" t="s">
        <v>260</v>
      </c>
      <c r="C115" s="54">
        <v>110</v>
      </c>
      <c r="D115" s="11" t="s">
        <v>94</v>
      </c>
      <c r="E115" s="12" t="s">
        <v>282</v>
      </c>
      <c r="F115" s="13" t="s">
        <v>266</v>
      </c>
      <c r="G115" s="13" t="s">
        <v>56</v>
      </c>
      <c r="H115" s="29" t="s">
        <v>106</v>
      </c>
      <c r="I115" s="14" t="s">
        <v>257</v>
      </c>
      <c r="J115" s="15" t="s">
        <v>65</v>
      </c>
      <c r="K115" s="16" t="s">
        <v>47</v>
      </c>
      <c r="L115" s="40" t="s">
        <v>67</v>
      </c>
      <c r="M115" s="17">
        <f>AG114</f>
        <v>9587.7688100933083</v>
      </c>
      <c r="N115" s="18">
        <f t="shared" si="12"/>
        <v>95.877688100933085</v>
      </c>
      <c r="O115" s="19">
        <v>0.01</v>
      </c>
      <c r="P115" s="20"/>
      <c r="Q115" s="26">
        <v>1.3695200000000001</v>
      </c>
      <c r="R115" s="28">
        <v>1.3697600000000001</v>
      </c>
      <c r="S115" s="21">
        <f>IF(R115="","",IF(K115="Long",Q115-R115,R115-Q115))</f>
        <v>2.4000000000001798E-4</v>
      </c>
      <c r="T115" s="22">
        <f t="shared" si="19"/>
        <v>95.877688100933085</v>
      </c>
      <c r="U115" s="27">
        <v>1.3690599999999999</v>
      </c>
      <c r="V115" s="21">
        <f>IF(U115="","",IF(K115="Long",U115-Q115,Q115-U115))</f>
        <v>4.6000000000012697E-4</v>
      </c>
      <c r="W115" s="23">
        <f t="shared" si="13"/>
        <v>183.76556886015871</v>
      </c>
      <c r="X115" s="24">
        <f t="shared" si="17"/>
        <v>1.9166666666670522</v>
      </c>
      <c r="Y115" s="12" t="s">
        <v>282</v>
      </c>
      <c r="Z115" s="28">
        <f>R115</f>
        <v>1.3697600000000001</v>
      </c>
      <c r="AA115" s="25">
        <v>-8.6199999999999992</v>
      </c>
      <c r="AB115" s="25">
        <v>0</v>
      </c>
      <c r="AC115" s="25">
        <f>-T115</f>
        <v>-95.877688100933085</v>
      </c>
      <c r="AD115" s="52">
        <f t="shared" si="18"/>
        <v>-104.49768810093309</v>
      </c>
      <c r="AE115" s="51">
        <f>IF(Z115="","",IF(K115="Long",Z115-Q115,Q115-Z115))</f>
        <v>-2.4000000000001798E-4</v>
      </c>
      <c r="AF115" s="53">
        <f>IF(AE115="","",AC115*O115/T115)</f>
        <v>-0.01</v>
      </c>
      <c r="AG115" s="146">
        <f>M115+AD115</f>
        <v>9483.2711219923749</v>
      </c>
      <c r="AH115" s="2"/>
      <c r="AI115" s="2"/>
      <c r="AJ115" s="2"/>
      <c r="AK115" s="2"/>
      <c r="AL115" s="2"/>
    </row>
    <row r="116" spans="1:38">
      <c r="A116" s="34"/>
      <c r="B116" s="58" t="s">
        <v>260</v>
      </c>
      <c r="C116" s="142">
        <v>111</v>
      </c>
      <c r="D116" s="11" t="s">
        <v>94</v>
      </c>
      <c r="E116" s="12" t="s">
        <v>282</v>
      </c>
      <c r="F116" s="13" t="s">
        <v>266</v>
      </c>
      <c r="G116" s="13" t="s">
        <v>56</v>
      </c>
      <c r="H116" s="29" t="s">
        <v>79</v>
      </c>
      <c r="I116" s="14" t="s">
        <v>257</v>
      </c>
      <c r="J116" s="15" t="s">
        <v>80</v>
      </c>
      <c r="K116" s="16" t="s">
        <v>68</v>
      </c>
      <c r="L116" s="40" t="s">
        <v>52</v>
      </c>
      <c r="M116" s="17">
        <f>AG115</f>
        <v>9483.2711219923749</v>
      </c>
      <c r="N116" s="18">
        <f t="shared" si="12"/>
        <v>94.832711219923752</v>
      </c>
      <c r="O116" s="19">
        <v>0.01</v>
      </c>
      <c r="P116" s="20"/>
      <c r="Q116" s="26">
        <v>1.2771999999999999</v>
      </c>
      <c r="R116" s="28">
        <v>1.2766299999999999</v>
      </c>
      <c r="S116" s="21">
        <f>IF(R116="","",IF(K116="Long",Q116-R116,R116-Q116))</f>
        <v>5.6999999999995943E-4</v>
      </c>
      <c r="T116" s="22">
        <f t="shared" si="19"/>
        <v>94.832711219923752</v>
      </c>
      <c r="U116" s="27">
        <v>1.27834</v>
      </c>
      <c r="V116" s="21">
        <f>IF(U116="","",IF(K116="Long",U116-Q116,Q116-U116))</f>
        <v>1.1400000000001409E-3</v>
      </c>
      <c r="W116" s="23">
        <f t="shared" si="13"/>
        <v>189.66542243988445</v>
      </c>
      <c r="X116" s="24">
        <f t="shared" si="17"/>
        <v>2.0000000000003895</v>
      </c>
      <c r="Y116" s="12" t="s">
        <v>282</v>
      </c>
      <c r="Z116" s="28">
        <f>U116</f>
        <v>1.27834</v>
      </c>
      <c r="AA116" s="25">
        <v>-5.0999999999999996</v>
      </c>
      <c r="AB116" s="25">
        <v>0</v>
      </c>
      <c r="AC116" s="25">
        <f>W116</f>
        <v>189.66542243988445</v>
      </c>
      <c r="AD116" s="52">
        <f t="shared" si="18"/>
        <v>184.56542243988446</v>
      </c>
      <c r="AE116" s="51">
        <f>IF(Z116="","",IF(K116="Long",Z116-Q116,Q116-Z116))</f>
        <v>1.1400000000001409E-3</v>
      </c>
      <c r="AF116" s="53">
        <f>IF(AE116="","",AC116*O116/T116)</f>
        <v>2.0000000000003897E-2</v>
      </c>
      <c r="AG116" s="146">
        <f>M116+AD116</f>
        <v>9667.836544432259</v>
      </c>
      <c r="AH116" s="2"/>
      <c r="AI116" s="2"/>
      <c r="AJ116" s="2"/>
      <c r="AK116" s="2"/>
      <c r="AL116" s="2"/>
    </row>
    <row r="117" spans="1:38">
      <c r="A117" s="34"/>
      <c r="B117" s="58" t="s">
        <v>260</v>
      </c>
      <c r="C117" s="142">
        <v>112</v>
      </c>
      <c r="D117" s="11" t="s">
        <v>102</v>
      </c>
      <c r="E117" s="12" t="s">
        <v>283</v>
      </c>
      <c r="F117" s="13" t="s">
        <v>256</v>
      </c>
      <c r="G117" s="13" t="s">
        <v>56</v>
      </c>
      <c r="H117" s="29" t="s">
        <v>79</v>
      </c>
      <c r="I117" s="14" t="s">
        <v>257</v>
      </c>
      <c r="J117" s="15" t="s">
        <v>80</v>
      </c>
      <c r="K117" s="16" t="s">
        <v>47</v>
      </c>
      <c r="L117" s="40" t="s">
        <v>67</v>
      </c>
      <c r="M117" s="17">
        <f>AG116</f>
        <v>9667.836544432259</v>
      </c>
      <c r="N117" s="18">
        <f t="shared" si="12"/>
        <v>96.678365444322594</v>
      </c>
      <c r="O117" s="19">
        <v>0.01</v>
      </c>
      <c r="P117" s="20"/>
      <c r="Q117" s="26">
        <v>1.27983</v>
      </c>
      <c r="R117" s="28">
        <v>1.28009</v>
      </c>
      <c r="S117" s="21">
        <f>IF(R117="","",IF(K117="Long",Q117-R117,R117-Q117))</f>
        <v>2.5999999999992696E-4</v>
      </c>
      <c r="T117" s="22">
        <f t="shared" si="19"/>
        <v>96.678365444322594</v>
      </c>
      <c r="U117" s="27">
        <v>1.2791999999999999</v>
      </c>
      <c r="V117" s="21">
        <f>IF(U117="","",IF(K117="Long",U117-Q117,Q117-U117))</f>
        <v>6.3000000000013046E-4</v>
      </c>
      <c r="W117" s="23">
        <f t="shared" si="13"/>
        <v>234.25911626904983</v>
      </c>
      <c r="X117" s="24">
        <f t="shared" si="17"/>
        <v>2.4230769230781055</v>
      </c>
      <c r="Y117" s="12" t="s">
        <v>283</v>
      </c>
      <c r="Z117" s="28">
        <f>R117</f>
        <v>1.28009</v>
      </c>
      <c r="AA117" s="25">
        <v>-5.9</v>
      </c>
      <c r="AB117" s="25">
        <v>0</v>
      </c>
      <c r="AC117" s="25">
        <f>-T117</f>
        <v>-96.678365444322594</v>
      </c>
      <c r="AD117" s="52">
        <f t="shared" si="18"/>
        <v>-102.5783654443226</v>
      </c>
      <c r="AE117" s="51">
        <f>IF(Z117="","",IF(K117="Long",Z117-Q117,Q117-Z117))</f>
        <v>-2.5999999999992696E-4</v>
      </c>
      <c r="AF117" s="53">
        <f>IF(AE117="","",AC117*O117/T117)</f>
        <v>-0.01</v>
      </c>
      <c r="AG117" s="146">
        <f>M117+AD117</f>
        <v>9565.2581789879368</v>
      </c>
      <c r="AH117" s="2"/>
      <c r="AI117" s="2"/>
      <c r="AJ117" s="2"/>
      <c r="AK117" s="2"/>
      <c r="AL117" s="2"/>
    </row>
    <row r="118" spans="1:38">
      <c r="A118" s="34"/>
      <c r="B118" s="58" t="s">
        <v>233</v>
      </c>
      <c r="C118" s="142">
        <v>113</v>
      </c>
      <c r="D118" s="11" t="s">
        <v>69</v>
      </c>
      <c r="E118" s="12" t="s">
        <v>284</v>
      </c>
      <c r="F118" s="13" t="s">
        <v>256</v>
      </c>
      <c r="G118" s="13" t="s">
        <v>56</v>
      </c>
      <c r="H118" s="29" t="s">
        <v>79</v>
      </c>
      <c r="I118" s="14" t="s">
        <v>257</v>
      </c>
      <c r="J118" s="15" t="s">
        <v>80</v>
      </c>
      <c r="K118" s="16" t="s">
        <v>47</v>
      </c>
      <c r="L118" s="40" t="s">
        <v>52</v>
      </c>
      <c r="M118" s="17">
        <f>AG117</f>
        <v>9565.2581789879368</v>
      </c>
      <c r="N118" s="18">
        <f t="shared" si="12"/>
        <v>95.652581789879378</v>
      </c>
      <c r="O118" s="19">
        <v>0.01</v>
      </c>
      <c r="P118" s="20"/>
      <c r="Q118" s="26">
        <v>1.2747200000000001</v>
      </c>
      <c r="R118" s="28">
        <v>1.27504</v>
      </c>
      <c r="S118" s="21">
        <f>IF(R118="","",IF(K118="Long",Q118-R118,R118-Q118))</f>
        <v>3.1999999999987594E-4</v>
      </c>
      <c r="T118" s="22">
        <f t="shared" si="19"/>
        <v>95.652581789879378</v>
      </c>
      <c r="U118" s="27">
        <v>1.2740800000000001</v>
      </c>
      <c r="V118" s="21">
        <f>IF(U118="","",IF(K118="Long",U118-Q118,Q118-U118))</f>
        <v>6.3999999999997392E-4</v>
      </c>
      <c r="W118" s="23">
        <f t="shared" si="13"/>
        <v>191.30516357982512</v>
      </c>
      <c r="X118" s="24">
        <f t="shared" si="17"/>
        <v>2.0000000000006937</v>
      </c>
      <c r="Y118" s="12" t="s">
        <v>284</v>
      </c>
      <c r="Z118" s="28">
        <f>U118</f>
        <v>1.2740800000000001</v>
      </c>
      <c r="AA118" s="25">
        <v>-12.92</v>
      </c>
      <c r="AB118" s="25">
        <v>0</v>
      </c>
      <c r="AC118" s="25">
        <f>W118</f>
        <v>191.30516357982512</v>
      </c>
      <c r="AD118" s="52">
        <f t="shared" si="18"/>
        <v>178.38516357982513</v>
      </c>
      <c r="AE118" s="51">
        <f>IF(Z118="","",IF(K118="Long",Z118-Q118,Q118-Z118))</f>
        <v>6.3999999999997392E-4</v>
      </c>
      <c r="AF118" s="53">
        <f>IF(AE118="","",AC118*O118/T118)</f>
        <v>2.0000000000006939E-2</v>
      </c>
      <c r="AG118" s="146">
        <f>M118+AD118</f>
        <v>9743.6433425677624</v>
      </c>
      <c r="AH118" s="2"/>
      <c r="AI118" s="2"/>
      <c r="AJ118" s="2"/>
      <c r="AK118" s="2"/>
      <c r="AL118" s="2"/>
    </row>
    <row r="119" spans="1:38">
      <c r="A119" s="34"/>
      <c r="B119" s="58" t="s">
        <v>233</v>
      </c>
      <c r="C119" s="142">
        <v>114</v>
      </c>
      <c r="D119" s="11" t="s">
        <v>94</v>
      </c>
      <c r="E119" s="12" t="s">
        <v>285</v>
      </c>
      <c r="F119" s="13" t="s">
        <v>256</v>
      </c>
      <c r="G119" s="13" t="s">
        <v>56</v>
      </c>
      <c r="H119" s="29" t="s">
        <v>79</v>
      </c>
      <c r="I119" s="14" t="s">
        <v>257</v>
      </c>
      <c r="J119" s="15" t="s">
        <v>80</v>
      </c>
      <c r="K119" s="16" t="s">
        <v>47</v>
      </c>
      <c r="L119" s="40" t="s">
        <v>67</v>
      </c>
      <c r="M119" s="17">
        <f>AG118</f>
        <v>9743.6433425677624</v>
      </c>
      <c r="N119" s="18">
        <f t="shared" si="12"/>
        <v>97.43643342567762</v>
      </c>
      <c r="O119" s="19">
        <v>0.01</v>
      </c>
      <c r="P119" s="20"/>
      <c r="Q119" s="26">
        <v>1.2788299999999999</v>
      </c>
      <c r="R119" s="28">
        <v>1.27918</v>
      </c>
      <c r="S119" s="21">
        <f>IF(R119="","",IF(K119="Long",Q119-R119,R119-Q119))</f>
        <v>3.5000000000007248E-4</v>
      </c>
      <c r="T119" s="22">
        <f t="shared" si="19"/>
        <v>97.43643342567762</v>
      </c>
      <c r="U119" s="27">
        <v>1.2783100000000001</v>
      </c>
      <c r="V119" s="21">
        <f>IF(U119="","",IF(K119="Long",U119-Q119,Q119-U119))</f>
        <v>5.1999999999985391E-4</v>
      </c>
      <c r="W119" s="23">
        <f t="shared" si="13"/>
        <v>144.76270108950752</v>
      </c>
      <c r="X119" s="24">
        <f t="shared" si="17"/>
        <v>1.4857142857135606</v>
      </c>
      <c r="Y119" s="12" t="s">
        <v>285</v>
      </c>
      <c r="Z119" s="28">
        <f>R119</f>
        <v>1.27918</v>
      </c>
      <c r="AA119" s="25">
        <v>-12.1</v>
      </c>
      <c r="AB119" s="25">
        <v>0</v>
      </c>
      <c r="AC119" s="25">
        <f>-T119</f>
        <v>-97.43643342567762</v>
      </c>
      <c r="AD119" s="52">
        <f t="shared" si="18"/>
        <v>-109.53643342567761</v>
      </c>
      <c r="AE119" s="51">
        <f>IF(Z119="","",IF(K119="Long",Z119-Q119,Q119-Z119))</f>
        <v>-3.5000000000007248E-4</v>
      </c>
      <c r="AF119" s="53">
        <f>IF(AE119="","",AC119*O119/T119)</f>
        <v>-0.01</v>
      </c>
      <c r="AG119" s="146">
        <f>M119+AD119</f>
        <v>9634.106909142085</v>
      </c>
      <c r="AH119" s="2"/>
      <c r="AI119" s="2"/>
      <c r="AJ119" s="2"/>
      <c r="AK119" s="2"/>
      <c r="AL119" s="2"/>
    </row>
    <row r="120" spans="1:38">
      <c r="A120" s="34"/>
      <c r="B120" s="58" t="s">
        <v>233</v>
      </c>
      <c r="C120" s="142">
        <v>115</v>
      </c>
      <c r="D120" s="11" t="s">
        <v>102</v>
      </c>
      <c r="E120" s="12" t="s">
        <v>286</v>
      </c>
      <c r="F120" s="13" t="s">
        <v>256</v>
      </c>
      <c r="G120" s="13" t="s">
        <v>56</v>
      </c>
      <c r="H120" s="29" t="s">
        <v>79</v>
      </c>
      <c r="I120" s="14" t="s">
        <v>257</v>
      </c>
      <c r="J120" s="15" t="s">
        <v>65</v>
      </c>
      <c r="K120" s="16" t="s">
        <v>68</v>
      </c>
      <c r="L120" s="148"/>
      <c r="M120" s="17">
        <f>AG119</f>
        <v>9634.106909142085</v>
      </c>
      <c r="N120" s="18">
        <f t="shared" si="12"/>
        <v>96.341069091420849</v>
      </c>
      <c r="O120" s="19">
        <v>0.01</v>
      </c>
      <c r="P120" s="20"/>
      <c r="Q120" s="26">
        <v>1.2728299999999999</v>
      </c>
      <c r="R120" s="28">
        <v>1.2721800000000001</v>
      </c>
      <c r="S120" s="21">
        <f>IF(R120="","",IF(K120="Long",Q120-R120,R120-Q120))</f>
        <v>6.4999999999981739E-4</v>
      </c>
      <c r="T120" s="22">
        <f t="shared" si="19"/>
        <v>96.341069091420849</v>
      </c>
      <c r="U120" s="27">
        <v>1.27383</v>
      </c>
      <c r="V120" s="21">
        <f>IF(U120="","",IF(K120="Long",U120-Q120,Q120-U120))</f>
        <v>1.0000000000001119E-3</v>
      </c>
      <c r="W120" s="23">
        <f t="shared" si="13"/>
        <v>148.21702937147492</v>
      </c>
      <c r="X120" s="24">
        <f t="shared" si="17"/>
        <v>1.538461538462143</v>
      </c>
      <c r="Y120" s="12" t="s">
        <v>286</v>
      </c>
      <c r="Z120" s="28">
        <v>1.27284</v>
      </c>
      <c r="AA120" s="25">
        <v>-6.48</v>
      </c>
      <c r="AB120" s="25">
        <v>0</v>
      </c>
      <c r="AC120" s="25">
        <v>5</v>
      </c>
      <c r="AD120" s="52">
        <f t="shared" si="18"/>
        <v>-1.4800000000000004</v>
      </c>
      <c r="AE120" s="51">
        <f>IF(Z120="","",IF(K120="Long",Z120-Q120,Q120-Z120))</f>
        <v>1.0000000000065512E-5</v>
      </c>
      <c r="AF120" s="53">
        <f>IF(AE120="","",AC120*O120/T120)</f>
        <v>5.1898946598312652E-4</v>
      </c>
      <c r="AG120" s="146">
        <f>M120+AD120</f>
        <v>9632.6269091420854</v>
      </c>
      <c r="AH120" s="2"/>
      <c r="AI120" s="2"/>
      <c r="AJ120" s="2"/>
      <c r="AK120" s="2"/>
      <c r="AL120" s="2"/>
    </row>
    <row r="121" spans="1:38">
      <c r="A121" s="34"/>
      <c r="B121" s="58" t="s">
        <v>233</v>
      </c>
      <c r="C121" s="142">
        <v>116</v>
      </c>
      <c r="D121" s="11" t="s">
        <v>102</v>
      </c>
      <c r="E121" s="12" t="s">
        <v>286</v>
      </c>
      <c r="F121" s="13" t="s">
        <v>266</v>
      </c>
      <c r="G121" s="13" t="s">
        <v>56</v>
      </c>
      <c r="H121" s="29" t="s">
        <v>76</v>
      </c>
      <c r="I121" s="14" t="s">
        <v>257</v>
      </c>
      <c r="J121" s="15" t="s">
        <v>65</v>
      </c>
      <c r="K121" s="16" t="s">
        <v>68</v>
      </c>
      <c r="L121" s="40" t="s">
        <v>209</v>
      </c>
      <c r="M121" s="17">
        <f>AG120</f>
        <v>9632.6269091420854</v>
      </c>
      <c r="N121" s="18">
        <f t="shared" si="12"/>
        <v>96.326269091420855</v>
      </c>
      <c r="O121" s="19">
        <v>0.01</v>
      </c>
      <c r="P121" s="20"/>
      <c r="Q121" s="26">
        <v>0.66127000000000002</v>
      </c>
      <c r="R121" s="28">
        <v>0.66095999999999999</v>
      </c>
      <c r="S121" s="21">
        <f>IF(R121="","",IF(K121="Long",Q121-R121,R121-Q121))</f>
        <v>3.1000000000003247E-4</v>
      </c>
      <c r="T121" s="22">
        <f t="shared" si="19"/>
        <v>96.326269091420855</v>
      </c>
      <c r="U121" s="27">
        <v>0.66173999999999999</v>
      </c>
      <c r="V121" s="21">
        <f>IF(U121="","",IF(K121="Long",U121-Q121,Q121-U121))</f>
        <v>4.6999999999997044E-4</v>
      </c>
      <c r="W121" s="23">
        <f t="shared" si="13"/>
        <v>146.04305313858131</v>
      </c>
      <c r="X121" s="24">
        <f t="shared" si="17"/>
        <v>1.5161290322578103</v>
      </c>
      <c r="Y121" s="12" t="s">
        <v>286</v>
      </c>
      <c r="Z121" s="28">
        <f>U121</f>
        <v>0.66173999999999999</v>
      </c>
      <c r="AA121" s="25">
        <v>-12.2</v>
      </c>
      <c r="AB121" s="25">
        <v>0</v>
      </c>
      <c r="AC121" s="25">
        <f>W121</f>
        <v>146.04305313858131</v>
      </c>
      <c r="AD121" s="52">
        <f t="shared" si="18"/>
        <v>133.84305313858133</v>
      </c>
      <c r="AE121" s="51">
        <f>IF(Z121="","",IF(K121="Long",Z121-Q121,Q121-Z121))</f>
        <v>4.6999999999997044E-4</v>
      </c>
      <c r="AF121" s="53">
        <f>IF(AE121="","",AC121*O121/T121)</f>
        <v>1.5161290322578102E-2</v>
      </c>
      <c r="AG121" s="146">
        <f>M121+AD121</f>
        <v>9766.4699622806675</v>
      </c>
      <c r="AH121" s="2"/>
      <c r="AI121" s="2"/>
      <c r="AJ121" s="2"/>
      <c r="AK121" s="2"/>
      <c r="AL121" s="2"/>
    </row>
    <row r="122" spans="1:38">
      <c r="A122" s="34"/>
      <c r="B122" s="58" t="s">
        <v>233</v>
      </c>
      <c r="C122" s="142">
        <v>117</v>
      </c>
      <c r="D122" s="11" t="s">
        <v>48</v>
      </c>
      <c r="E122" s="12" t="s">
        <v>287</v>
      </c>
      <c r="F122" s="13" t="s">
        <v>256</v>
      </c>
      <c r="G122" s="13" t="s">
        <v>56</v>
      </c>
      <c r="H122" s="29" t="s">
        <v>76</v>
      </c>
      <c r="I122" s="14" t="s">
        <v>257</v>
      </c>
      <c r="J122" s="15" t="s">
        <v>80</v>
      </c>
      <c r="K122" s="16" t="s">
        <v>68</v>
      </c>
      <c r="L122" s="40" t="s">
        <v>67</v>
      </c>
      <c r="M122" s="17">
        <f>AG121</f>
        <v>9766.4699622806675</v>
      </c>
      <c r="N122" s="18">
        <f t="shared" si="12"/>
        <v>97.66469962280668</v>
      </c>
      <c r="O122" s="19">
        <v>0.01</v>
      </c>
      <c r="P122" s="20"/>
      <c r="Q122" s="26">
        <v>0.65944999999999998</v>
      </c>
      <c r="R122" s="28">
        <v>0.65920000000000001</v>
      </c>
      <c r="S122" s="21">
        <f>IF(R122="","",IF(K122="Long",Q122-R122,R122-Q122))</f>
        <v>2.4999999999997247E-4</v>
      </c>
      <c r="T122" s="22">
        <f t="shared" si="19"/>
        <v>97.66469962280668</v>
      </c>
      <c r="U122" s="27">
        <v>0.65998000000000001</v>
      </c>
      <c r="V122" s="21">
        <f>IF(U122="","",IF(K122="Long",U122-Q122,Q122-U122))</f>
        <v>5.3000000000003045E-4</v>
      </c>
      <c r="W122" s="23">
        <f t="shared" si="13"/>
        <v>207.04916320038487</v>
      </c>
      <c r="X122" s="24">
        <f t="shared" si="17"/>
        <v>2.1200000000003554</v>
      </c>
      <c r="Y122" s="12" t="s">
        <v>287</v>
      </c>
      <c r="Z122" s="28">
        <f>R122</f>
        <v>0.65920000000000001</v>
      </c>
      <c r="AA122" s="25">
        <v>-16.8</v>
      </c>
      <c r="AB122" s="25">
        <v>0</v>
      </c>
      <c r="AC122" s="25">
        <f>-T122</f>
        <v>-97.66469962280668</v>
      </c>
      <c r="AD122" s="52">
        <f t="shared" si="18"/>
        <v>-114.46469962280668</v>
      </c>
      <c r="AE122" s="51">
        <f>IF(Z122="","",IF(K122="Long",Z122-Q122,Q122-Z122))</f>
        <v>-2.4999999999997247E-4</v>
      </c>
      <c r="AF122" s="53">
        <f>IF(AE122="","",AC122*O122/T122)</f>
        <v>-0.01</v>
      </c>
      <c r="AG122" s="146">
        <f>M122+AD122</f>
        <v>9652.0052626578599</v>
      </c>
      <c r="AH122" s="2"/>
      <c r="AI122" s="2"/>
      <c r="AJ122" s="2"/>
      <c r="AK122" s="2"/>
      <c r="AL122" s="2"/>
    </row>
    <row r="123" spans="1:38">
      <c r="A123" s="34"/>
      <c r="B123" s="58" t="s">
        <v>233</v>
      </c>
      <c r="C123" s="54">
        <v>118</v>
      </c>
      <c r="D123" s="11" t="s">
        <v>48</v>
      </c>
      <c r="E123" s="12" t="s">
        <v>287</v>
      </c>
      <c r="F123" s="13" t="s">
        <v>266</v>
      </c>
      <c r="G123" s="13" t="s">
        <v>56</v>
      </c>
      <c r="H123" s="29" t="s">
        <v>79</v>
      </c>
      <c r="I123" s="14" t="s">
        <v>257</v>
      </c>
      <c r="J123" s="15" t="s">
        <v>80</v>
      </c>
      <c r="K123" s="16" t="s">
        <v>68</v>
      </c>
      <c r="L123" s="40" t="s">
        <v>52</v>
      </c>
      <c r="M123" s="17">
        <f>AG122</f>
        <v>9652.0052626578599</v>
      </c>
      <c r="N123" s="18">
        <f t="shared" si="12"/>
        <v>96.520052626578604</v>
      </c>
      <c r="O123" s="19">
        <v>0.01</v>
      </c>
      <c r="P123" s="20"/>
      <c r="Q123" s="26">
        <v>1.2664299999999999</v>
      </c>
      <c r="R123" s="28">
        <v>1.26606</v>
      </c>
      <c r="S123" s="21">
        <f>IF(R123="","",IF(K123="Long",Q123-R123,R123-Q123))</f>
        <v>3.6999999999998145E-4</v>
      </c>
      <c r="T123" s="22">
        <f t="shared" si="19"/>
        <v>96.520052626578604</v>
      </c>
      <c r="U123" s="27">
        <v>1.2670300000000001</v>
      </c>
      <c r="V123" s="21">
        <f>IF(U123="","",IF(K123="Long",U123-Q123,Q123-U123))</f>
        <v>6.0000000000015596E-4</v>
      </c>
      <c r="W123" s="23">
        <f t="shared" si="13"/>
        <v>156.51900425936518</v>
      </c>
      <c r="X123" s="24">
        <f t="shared" si="17"/>
        <v>1.6216216216221244</v>
      </c>
      <c r="Y123" s="12" t="s">
        <v>287</v>
      </c>
      <c r="Z123" s="28">
        <f>U123</f>
        <v>1.2670300000000001</v>
      </c>
      <c r="AA123" s="25">
        <v>-11.86</v>
      </c>
      <c r="AB123" s="25">
        <v>0</v>
      </c>
      <c r="AC123" s="25">
        <f>W123</f>
        <v>156.51900425936518</v>
      </c>
      <c r="AD123" s="52">
        <f t="shared" si="18"/>
        <v>144.65900425936519</v>
      </c>
      <c r="AE123" s="51">
        <f>IF(Z123="","",IF(K123="Long",Z123-Q123,Q123-Z123))</f>
        <v>6.0000000000015596E-4</v>
      </c>
      <c r="AF123" s="53">
        <f>IF(AE123="","",AC123*O123/T123)</f>
        <v>1.6216216216221244E-2</v>
      </c>
      <c r="AG123" s="146">
        <f>M123+AD123</f>
        <v>9796.6642669172252</v>
      </c>
      <c r="AH123" s="2"/>
      <c r="AI123" s="2"/>
      <c r="AJ123" s="2"/>
      <c r="AK123" s="2"/>
      <c r="AL123" s="2"/>
    </row>
    <row r="124" spans="1:38">
      <c r="A124" s="34"/>
      <c r="B124" s="58" t="s">
        <v>233</v>
      </c>
      <c r="C124" s="54">
        <v>119</v>
      </c>
      <c r="D124" s="11" t="s">
        <v>69</v>
      </c>
      <c r="E124" s="12" t="s">
        <v>288</v>
      </c>
      <c r="F124" s="13" t="s">
        <v>266</v>
      </c>
      <c r="G124" s="13" t="s">
        <v>97</v>
      </c>
      <c r="H124" s="29" t="s">
        <v>289</v>
      </c>
      <c r="I124" s="14" t="s">
        <v>257</v>
      </c>
      <c r="J124" s="15" t="s">
        <v>80</v>
      </c>
      <c r="K124" s="16" t="s">
        <v>47</v>
      </c>
      <c r="L124" s="40" t="s">
        <v>52</v>
      </c>
      <c r="M124" s="17">
        <f>AG123</f>
        <v>9796.6642669172252</v>
      </c>
      <c r="N124" s="18">
        <f t="shared" si="12"/>
        <v>97.966642669172259</v>
      </c>
      <c r="O124" s="19">
        <v>0.01</v>
      </c>
      <c r="P124" s="20"/>
      <c r="Q124" s="26">
        <v>19942.5</v>
      </c>
      <c r="R124" s="28">
        <v>19961.3</v>
      </c>
      <c r="S124" s="21">
        <f>IF(R124="","",IF(K124="Long",Q124-R124,R124-Q124))</f>
        <v>18.799999999999272</v>
      </c>
      <c r="T124" s="22">
        <f t="shared" si="19"/>
        <v>97.966642669172259</v>
      </c>
      <c r="U124" s="26">
        <v>19921.900000000001</v>
      </c>
      <c r="V124" s="21">
        <f>IF(U124="","",IF(K124="Long",U124-Q124,Q124-U124))</f>
        <v>20.599999999998545</v>
      </c>
      <c r="W124" s="23">
        <f t="shared" si="13"/>
        <v>107.34642760557895</v>
      </c>
      <c r="X124" s="24">
        <f t="shared" si="17"/>
        <v>1.0957446808510289</v>
      </c>
      <c r="Y124" s="12" t="s">
        <v>288</v>
      </c>
      <c r="Z124" s="28">
        <f>U124</f>
        <v>19921.900000000001</v>
      </c>
      <c r="AA124" s="25">
        <v>0</v>
      </c>
      <c r="AB124" s="25">
        <v>0</v>
      </c>
      <c r="AC124" s="25">
        <f>W124</f>
        <v>107.34642760557895</v>
      </c>
      <c r="AD124" s="52">
        <f t="shared" si="18"/>
        <v>107.34642760557895</v>
      </c>
      <c r="AE124" s="51">
        <f>IF(Z124="","",IF(K124="Long",Z124-Q124,Q124-Z124))</f>
        <v>20.599999999998545</v>
      </c>
      <c r="AF124" s="53">
        <f>IF(AE124="","",AC124*O124/T124)</f>
        <v>1.0957446808510289E-2</v>
      </c>
      <c r="AG124" s="146">
        <f>M124+AD124</f>
        <v>9904.0106945228035</v>
      </c>
      <c r="AH124" s="2"/>
      <c r="AI124" s="2"/>
      <c r="AJ124" s="2"/>
      <c r="AK124" s="2"/>
      <c r="AL124" s="2"/>
    </row>
    <row r="125" spans="1:38">
      <c r="A125" s="34"/>
      <c r="B125" s="58" t="s">
        <v>233</v>
      </c>
      <c r="C125" s="54">
        <v>120</v>
      </c>
      <c r="D125" s="11" t="s">
        <v>82</v>
      </c>
      <c r="E125" s="12" t="s">
        <v>290</v>
      </c>
      <c r="F125" s="13" t="s">
        <v>256</v>
      </c>
      <c r="G125" s="13" t="s">
        <v>56</v>
      </c>
      <c r="H125" s="29" t="s">
        <v>79</v>
      </c>
      <c r="I125" s="14" t="s">
        <v>257</v>
      </c>
      <c r="J125" s="15" t="s">
        <v>80</v>
      </c>
      <c r="K125" s="16" t="s">
        <v>47</v>
      </c>
      <c r="L125" s="40" t="s">
        <v>67</v>
      </c>
      <c r="M125" s="17">
        <f>AG124</f>
        <v>9904.0106945228035</v>
      </c>
      <c r="N125" s="18">
        <f t="shared" si="12"/>
        <v>99.040106945228032</v>
      </c>
      <c r="O125" s="19">
        <v>0.01</v>
      </c>
      <c r="P125" s="20"/>
      <c r="Q125" s="26">
        <v>1.27257</v>
      </c>
      <c r="R125" s="28">
        <v>1.2731399999999999</v>
      </c>
      <c r="S125" s="21">
        <f>IF(R125="","",IF(K125="Long",Q125-R125,R125-Q125))</f>
        <v>5.6999999999995943E-4</v>
      </c>
      <c r="T125" s="22">
        <f t="shared" si="19"/>
        <v>99.040106945228032</v>
      </c>
      <c r="U125" s="27">
        <v>1.2707299999999999</v>
      </c>
      <c r="V125" s="21">
        <f>IF(U125="","",IF(K125="Long",U125-Q125,Q125-U125))</f>
        <v>1.8400000000000638E-3</v>
      </c>
      <c r="W125" s="23">
        <f t="shared" si="13"/>
        <v>319.70841540217344</v>
      </c>
      <c r="X125" s="24">
        <f t="shared" si="17"/>
        <v>3.2280701754389383</v>
      </c>
      <c r="Y125" s="12" t="s">
        <v>290</v>
      </c>
      <c r="Z125" s="28">
        <f>R125</f>
        <v>1.2731399999999999</v>
      </c>
      <c r="AA125" s="25">
        <v>-7.2</v>
      </c>
      <c r="AB125" s="25">
        <v>0</v>
      </c>
      <c r="AC125" s="25">
        <f>-T125</f>
        <v>-99.040106945228032</v>
      </c>
      <c r="AD125" s="52">
        <f t="shared" si="18"/>
        <v>-106.24010694522804</v>
      </c>
      <c r="AE125" s="51">
        <f>IF(Z125="","",IF(K125="Long",Z125-Q125,Q125-Z125))</f>
        <v>-5.6999999999995943E-4</v>
      </c>
      <c r="AF125" s="53">
        <f>IF(AE125="","",AC125*O125/T125)</f>
        <v>-0.01</v>
      </c>
      <c r="AG125" s="146">
        <f>M125+AD125</f>
        <v>9797.7705875775755</v>
      </c>
      <c r="AH125" s="2"/>
      <c r="AI125" s="2"/>
      <c r="AJ125" s="2"/>
      <c r="AK125" s="2"/>
      <c r="AL125" s="2"/>
    </row>
    <row r="126" spans="1:38">
      <c r="A126" s="34"/>
      <c r="B126" s="58" t="s">
        <v>233</v>
      </c>
      <c r="C126" s="142">
        <v>121</v>
      </c>
      <c r="D126" s="11" t="s">
        <v>82</v>
      </c>
      <c r="E126" s="12" t="s">
        <v>290</v>
      </c>
      <c r="F126" s="13" t="s">
        <v>256</v>
      </c>
      <c r="G126" s="13" t="s">
        <v>56</v>
      </c>
      <c r="H126" s="29" t="s">
        <v>79</v>
      </c>
      <c r="I126" s="14" t="s">
        <v>257</v>
      </c>
      <c r="J126" s="15" t="s">
        <v>119</v>
      </c>
      <c r="K126" s="16" t="s">
        <v>47</v>
      </c>
      <c r="L126" s="40" t="s">
        <v>67</v>
      </c>
      <c r="M126" s="17">
        <f>AG125</f>
        <v>9797.7705875775755</v>
      </c>
      <c r="N126" s="18">
        <f t="shared" si="12"/>
        <v>97.977705875775754</v>
      </c>
      <c r="O126" s="19">
        <v>0.01</v>
      </c>
      <c r="P126" s="20"/>
      <c r="Q126" s="26">
        <v>1.2723599999999999</v>
      </c>
      <c r="R126" s="28">
        <v>1.2733399999999999</v>
      </c>
      <c r="S126" s="21">
        <f>IF(R126="","",IF(K126="Long",Q126-R126,R126-Q126))</f>
        <v>9.7999999999998089E-4</v>
      </c>
      <c r="T126" s="22">
        <f t="shared" si="19"/>
        <v>97.977705875775754</v>
      </c>
      <c r="U126" s="27">
        <v>1.2703100000000001</v>
      </c>
      <c r="V126" s="21">
        <f>IF(U126="","",IF(K126="Long",U126-Q126,Q126-U126))</f>
        <v>2.0499999999998852E-3</v>
      </c>
      <c r="W126" s="23">
        <f t="shared" si="13"/>
        <v>204.95336433197241</v>
      </c>
      <c r="X126" s="24">
        <f t="shared" si="17"/>
        <v>2.0918367346938012</v>
      </c>
      <c r="Y126" s="12" t="s">
        <v>290</v>
      </c>
      <c r="Z126" s="28">
        <v>1.27288</v>
      </c>
      <c r="AA126" s="25">
        <v>-4.3</v>
      </c>
      <c r="AB126" s="25">
        <v>0</v>
      </c>
      <c r="AC126" s="25">
        <v>-51</v>
      </c>
      <c r="AD126" s="52">
        <f t="shared" si="18"/>
        <v>-55.3</v>
      </c>
      <c r="AE126" s="51">
        <f>IF(Z126="","",IF(K126="Long",Z126-Q126,Q126-Z126))</f>
        <v>-5.2000000000007596E-4</v>
      </c>
      <c r="AF126" s="53">
        <f>IF(AE126="","",AC126*O126/T126)</f>
        <v>-5.2052657841021527E-3</v>
      </c>
      <c r="AG126" s="146">
        <f>M126+AD126</f>
        <v>9742.4705875775762</v>
      </c>
      <c r="AH126" s="2"/>
      <c r="AI126" s="2"/>
      <c r="AJ126" s="2"/>
      <c r="AK126" s="2"/>
      <c r="AL126" s="2"/>
    </row>
    <row r="127" spans="1:38">
      <c r="A127" s="34"/>
      <c r="B127" s="58" t="s">
        <v>233</v>
      </c>
      <c r="C127" s="142">
        <v>122</v>
      </c>
      <c r="D127" s="11" t="s">
        <v>82</v>
      </c>
      <c r="E127" s="12" t="s">
        <v>290</v>
      </c>
      <c r="F127" s="13" t="s">
        <v>266</v>
      </c>
      <c r="G127" s="13" t="s">
        <v>56</v>
      </c>
      <c r="H127" s="29" t="s">
        <v>106</v>
      </c>
      <c r="I127" s="14" t="s">
        <v>257</v>
      </c>
      <c r="J127" s="15" t="s">
        <v>80</v>
      </c>
      <c r="K127" s="16" t="s">
        <v>68</v>
      </c>
      <c r="L127" s="40" t="s">
        <v>67</v>
      </c>
      <c r="M127" s="17">
        <f>AG126</f>
        <v>9742.4705875775762</v>
      </c>
      <c r="N127" s="18">
        <f t="shared" si="12"/>
        <v>97.424705875775771</v>
      </c>
      <c r="O127" s="19">
        <v>0.01</v>
      </c>
      <c r="P127" s="20"/>
      <c r="Q127" s="26">
        <v>1.3710500000000001</v>
      </c>
      <c r="R127" s="28">
        <v>1.3708499999999999</v>
      </c>
      <c r="S127" s="21">
        <f>IF(R127="","",IF(K127="Long",Q127-R127,R127-Q127))</f>
        <v>2.0000000000020002E-4</v>
      </c>
      <c r="T127" s="22">
        <f t="shared" si="19"/>
        <v>97.424705875775771</v>
      </c>
      <c r="U127" s="27">
        <v>1.37151</v>
      </c>
      <c r="V127" s="21">
        <f>IF(U127="","",IF(K127="Long",U127-Q127,Q127-U127))</f>
        <v>4.5999999999990493E-4</v>
      </c>
      <c r="W127" s="23">
        <f t="shared" si="13"/>
        <v>224.07682351401385</v>
      </c>
      <c r="X127" s="24">
        <f t="shared" si="17"/>
        <v>2.2999999999972243</v>
      </c>
      <c r="Y127" s="12" t="s">
        <v>290</v>
      </c>
      <c r="Z127" s="28">
        <f>R127</f>
        <v>1.3708499999999999</v>
      </c>
      <c r="AA127" s="25">
        <v>-30.26</v>
      </c>
      <c r="AB127" s="25">
        <v>0</v>
      </c>
      <c r="AC127" s="25">
        <f>-T127</f>
        <v>-97.424705875775771</v>
      </c>
      <c r="AD127" s="52">
        <f t="shared" si="18"/>
        <v>-127.68470587577578</v>
      </c>
      <c r="AE127" s="51">
        <f>IF(Z127="","",IF(K127="Long",Z127-Q127,Q127-Z127))</f>
        <v>-2.0000000000020002E-4</v>
      </c>
      <c r="AF127" s="53">
        <f>IF(AE127="","",AC127*O127/T127)</f>
        <v>-0.01</v>
      </c>
      <c r="AG127" s="146">
        <f>M127+AD127</f>
        <v>9614.7858817018005</v>
      </c>
      <c r="AH127" s="2"/>
      <c r="AI127" s="2"/>
      <c r="AJ127" s="2"/>
      <c r="AK127" s="2"/>
      <c r="AL127" s="2"/>
    </row>
    <row r="128" spans="1:38">
      <c r="A128" s="34"/>
      <c r="B128" s="58" t="s">
        <v>233</v>
      </c>
      <c r="C128" s="142">
        <v>123</v>
      </c>
      <c r="D128" s="11" t="s">
        <v>82</v>
      </c>
      <c r="E128" s="12" t="s">
        <v>290</v>
      </c>
      <c r="F128" s="13" t="s">
        <v>266</v>
      </c>
      <c r="G128" s="13" t="s">
        <v>97</v>
      </c>
      <c r="H128" s="29" t="s">
        <v>289</v>
      </c>
      <c r="I128" s="14" t="s">
        <v>257</v>
      </c>
      <c r="J128" s="15" t="s">
        <v>80</v>
      </c>
      <c r="K128" s="16" t="s">
        <v>47</v>
      </c>
      <c r="L128" s="40" t="s">
        <v>67</v>
      </c>
      <c r="M128" s="17">
        <f>AG127</f>
        <v>9614.7858817018005</v>
      </c>
      <c r="N128" s="18">
        <f t="shared" si="12"/>
        <v>96.147858817018005</v>
      </c>
      <c r="O128" s="19">
        <v>0.01</v>
      </c>
      <c r="P128" s="20"/>
      <c r="Q128" s="26">
        <v>19981.599999999999</v>
      </c>
      <c r="R128" s="28">
        <v>19985.099999999999</v>
      </c>
      <c r="S128" s="21">
        <f>IF(R128="","",IF(K128="Long",Q128-R128,R128-Q128))</f>
        <v>3.5</v>
      </c>
      <c r="T128" s="22">
        <f t="shared" si="19"/>
        <v>96.147858817018005</v>
      </c>
      <c r="U128" s="27">
        <v>19969.900000000001</v>
      </c>
      <c r="V128" s="21">
        <f>IF(U128="","",IF(K128="Long",U128-Q128,Q128-U128))</f>
        <v>11.69999999999709</v>
      </c>
      <c r="W128" s="23">
        <f t="shared" si="13"/>
        <v>321.40855661680882</v>
      </c>
      <c r="X128" s="24">
        <f t="shared" si="17"/>
        <v>3.3428571428563112</v>
      </c>
      <c r="Y128" s="12" t="s">
        <v>290</v>
      </c>
      <c r="Z128" s="28">
        <f>R128</f>
        <v>19985.099999999999</v>
      </c>
      <c r="AA128" s="25">
        <v>0</v>
      </c>
      <c r="AB128" s="25">
        <v>0</v>
      </c>
      <c r="AC128" s="25">
        <f>-T128</f>
        <v>-96.147858817018005</v>
      </c>
      <c r="AD128" s="52">
        <f t="shared" si="18"/>
        <v>-96.147858817018005</v>
      </c>
      <c r="AE128" s="51">
        <f>IF(Z128="","",IF(K128="Long",Z128-Q128,Q128-Z128))</f>
        <v>-3.5</v>
      </c>
      <c r="AF128" s="53">
        <f>IF(AE128="","",AC128*O128/T128)</f>
        <v>-0.01</v>
      </c>
      <c r="AG128" s="146">
        <f>M128+AD128</f>
        <v>9518.6380228847829</v>
      </c>
      <c r="AH128" s="2"/>
      <c r="AI128" s="2"/>
      <c r="AJ128" s="2"/>
      <c r="AK128" s="2"/>
      <c r="AL128" s="2"/>
    </row>
    <row r="129" spans="1:38">
      <c r="A129" s="34"/>
      <c r="B129" s="58" t="s">
        <v>233</v>
      </c>
      <c r="C129" s="142">
        <v>124</v>
      </c>
      <c r="D129" s="11" t="s">
        <v>94</v>
      </c>
      <c r="E129" s="12" t="s">
        <v>291</v>
      </c>
      <c r="F129" s="13" t="s">
        <v>256</v>
      </c>
      <c r="G129" s="13" t="s">
        <v>56</v>
      </c>
      <c r="H129" s="29" t="s">
        <v>59</v>
      </c>
      <c r="I129" s="14" t="s">
        <v>257</v>
      </c>
      <c r="J129" s="15" t="s">
        <v>65</v>
      </c>
      <c r="K129" s="16" t="s">
        <v>68</v>
      </c>
      <c r="L129" s="40" t="s">
        <v>67</v>
      </c>
      <c r="M129" s="17">
        <f>AG128</f>
        <v>9518.6380228847829</v>
      </c>
      <c r="N129" s="18">
        <f t="shared" si="12"/>
        <v>95.186380228847824</v>
      </c>
      <c r="O129" s="19">
        <v>0.01</v>
      </c>
      <c r="P129" s="20"/>
      <c r="Q129" s="26">
        <v>1.07324</v>
      </c>
      <c r="R129" s="28">
        <v>1.0729500000000001</v>
      </c>
      <c r="S129" s="21">
        <f>IF(R129="","",IF(K129="Long",Q129-R129,R129-Q129))</f>
        <v>2.8999999999990145E-4</v>
      </c>
      <c r="T129" s="22">
        <f t="shared" si="19"/>
        <v>95.186380228847824</v>
      </c>
      <c r="U129" s="27">
        <v>1.0737099999999999</v>
      </c>
      <c r="V129" s="21">
        <f>IF(U129="","",IF(K129="Long",U129-Q129,Q129-U129))</f>
        <v>4.6999999999997044E-4</v>
      </c>
      <c r="W129" s="23">
        <f t="shared" si="13"/>
        <v>154.26758175024437</v>
      </c>
      <c r="X129" s="24">
        <f t="shared" si="17"/>
        <v>1.6206896551728627</v>
      </c>
      <c r="Y129" s="12" t="s">
        <v>291</v>
      </c>
      <c r="Z129" s="12">
        <f>R129</f>
        <v>1.0729500000000001</v>
      </c>
      <c r="AA129" s="25">
        <v>-0.04</v>
      </c>
      <c r="AB129" s="25">
        <v>0</v>
      </c>
      <c r="AC129" s="25">
        <f>-T129</f>
        <v>-95.186380228847824</v>
      </c>
      <c r="AD129" s="52">
        <f t="shared" si="18"/>
        <v>-95.22638022884783</v>
      </c>
      <c r="AE129" s="51">
        <f>IF(Z129="","",IF(K129="Long",Z129-Q129,Q129-Z129))</f>
        <v>-2.8999999999990145E-4</v>
      </c>
      <c r="AF129" s="53">
        <f>IF(AE129="","",AC129*O129/T129)</f>
        <v>-0.01</v>
      </c>
      <c r="AG129" s="146">
        <f>M129+AD129</f>
        <v>9423.4116426559358</v>
      </c>
      <c r="AH129" s="2"/>
      <c r="AI129" s="2"/>
      <c r="AJ129" s="2"/>
      <c r="AK129" s="2"/>
      <c r="AL129" s="2"/>
    </row>
    <row r="130" spans="1:38">
      <c r="A130" s="34"/>
      <c r="B130" s="58" t="s">
        <v>260</v>
      </c>
      <c r="C130" s="142">
        <v>125</v>
      </c>
      <c r="D130" s="11" t="s">
        <v>48</v>
      </c>
      <c r="E130" s="12" t="s">
        <v>292</v>
      </c>
      <c r="F130" s="13" t="s">
        <v>256</v>
      </c>
      <c r="G130" s="13" t="s">
        <v>56</v>
      </c>
      <c r="H130" s="29" t="s">
        <v>79</v>
      </c>
      <c r="I130" s="14" t="s">
        <v>257</v>
      </c>
      <c r="J130" s="15" t="s">
        <v>80</v>
      </c>
      <c r="K130" s="16" t="s">
        <v>47</v>
      </c>
      <c r="L130" s="40" t="s">
        <v>67</v>
      </c>
      <c r="M130" s="17">
        <f>AG129</f>
        <v>9423.4116426559358</v>
      </c>
      <c r="N130" s="18">
        <f t="shared" si="12"/>
        <v>94.234116426559353</v>
      </c>
      <c r="O130" s="19">
        <v>0.01</v>
      </c>
      <c r="P130" s="20"/>
      <c r="Q130" s="26">
        <v>1.2649699999999999</v>
      </c>
      <c r="R130" s="28">
        <v>1.2652300000000001</v>
      </c>
      <c r="S130" s="21">
        <f>IF(R130="","",IF(K130="Long",Q130-R130,R130-Q130))</f>
        <v>2.60000000000149E-4</v>
      </c>
      <c r="T130" s="22">
        <f t="shared" si="19"/>
        <v>94.234116426559353</v>
      </c>
      <c r="U130" s="27">
        <v>1.2644500000000001</v>
      </c>
      <c r="V130" s="21">
        <f>IF(U130="","",IF(K130="Long",U130-Q130,Q130-U130))</f>
        <v>5.1999999999985391E-4</v>
      </c>
      <c r="W130" s="23">
        <f t="shared" si="13"/>
        <v>188.46823285295775</v>
      </c>
      <c r="X130" s="24">
        <f t="shared" si="17"/>
        <v>1.999999999998292</v>
      </c>
      <c r="Y130" s="12" t="s">
        <v>292</v>
      </c>
      <c r="Z130" s="28">
        <f>R130</f>
        <v>1.2652300000000001</v>
      </c>
      <c r="AA130" s="25">
        <v>-6.62</v>
      </c>
      <c r="AB130" s="25">
        <v>0</v>
      </c>
      <c r="AC130" s="25">
        <f>-T130</f>
        <v>-94.234116426559353</v>
      </c>
      <c r="AD130" s="52">
        <f t="shared" si="18"/>
        <v>-100.85411642655936</v>
      </c>
      <c r="AE130" s="51">
        <f>IF(Z130="","",IF(K130="Long",Z130-Q130,Q130-Z130))</f>
        <v>-2.60000000000149E-4</v>
      </c>
      <c r="AF130" s="53">
        <f>IF(AE130="","",AC130*O130/T130)</f>
        <v>-0.01</v>
      </c>
      <c r="AG130" s="146">
        <f>M130+AD130</f>
        <v>9322.5575262293769</v>
      </c>
      <c r="AH130" s="2"/>
      <c r="AI130" s="2"/>
      <c r="AJ130" s="2"/>
      <c r="AK130" s="2"/>
      <c r="AL130" s="2"/>
    </row>
    <row r="131" spans="1:38">
      <c r="A131" s="34"/>
      <c r="B131" s="58" t="s">
        <v>233</v>
      </c>
      <c r="C131" s="142">
        <v>126</v>
      </c>
      <c r="D131" s="11" t="s">
        <v>48</v>
      </c>
      <c r="E131" s="12" t="s">
        <v>292</v>
      </c>
      <c r="F131" s="13" t="s">
        <v>256</v>
      </c>
      <c r="G131" s="13" t="s">
        <v>97</v>
      </c>
      <c r="H131" s="29" t="s">
        <v>289</v>
      </c>
      <c r="I131" s="14" t="s">
        <v>257</v>
      </c>
      <c r="J131" s="15" t="s">
        <v>80</v>
      </c>
      <c r="K131" s="16" t="s">
        <v>47</v>
      </c>
      <c r="L131" s="40" t="s">
        <v>52</v>
      </c>
      <c r="M131" s="17">
        <f>AG130</f>
        <v>9322.5575262293769</v>
      </c>
      <c r="N131" s="18">
        <f t="shared" si="12"/>
        <v>93.225575262293773</v>
      </c>
      <c r="O131" s="19">
        <v>0.01</v>
      </c>
      <c r="P131" s="20"/>
      <c r="Q131" s="26">
        <v>19767.599999999999</v>
      </c>
      <c r="R131" s="28">
        <v>19775.8</v>
      </c>
      <c r="S131" s="21">
        <f>IF(R131="","",IF(K131="Long",Q131-R131,R131-Q131))</f>
        <v>8.2000000000007276</v>
      </c>
      <c r="T131" s="22">
        <f t="shared" si="19"/>
        <v>93.225575262293773</v>
      </c>
      <c r="U131" s="26">
        <v>19747.8</v>
      </c>
      <c r="V131" s="21">
        <f>IF(U131="","",IF(K131="Long",U131-Q131,Q131-U131))</f>
        <v>19.799999999999272</v>
      </c>
      <c r="W131" s="23">
        <f t="shared" si="13"/>
        <v>225.10565734063232</v>
      </c>
      <c r="X131" s="24">
        <f t="shared" si="17"/>
        <v>2.4146341463411605</v>
      </c>
      <c r="Y131" s="12" t="s">
        <v>292</v>
      </c>
      <c r="Z131" s="28">
        <f>U131</f>
        <v>19747.8</v>
      </c>
      <c r="AA131" s="25">
        <v>0</v>
      </c>
      <c r="AB131" s="25">
        <v>0</v>
      </c>
      <c r="AC131" s="25">
        <f>W131</f>
        <v>225.10565734063232</v>
      </c>
      <c r="AD131" s="52">
        <f t="shared" si="18"/>
        <v>225.10565734063232</v>
      </c>
      <c r="AE131" s="51">
        <f>IF(Z131="","",IF(K131="Long",Z131-Q131,Q131-Z131))</f>
        <v>19.799999999999272</v>
      </c>
      <c r="AF131" s="53">
        <f>IF(AE131="","",AC131*O131/T131)</f>
        <v>2.4146341463411602E-2</v>
      </c>
      <c r="AG131" s="146">
        <f>M131+AD131</f>
        <v>9547.66318357001</v>
      </c>
      <c r="AH131" s="2"/>
      <c r="AI131" s="2"/>
      <c r="AJ131" s="2"/>
      <c r="AK131" s="2"/>
      <c r="AL131" s="2"/>
    </row>
    <row r="132" spans="1:38">
      <c r="A132" s="34"/>
      <c r="B132" s="58" t="s">
        <v>233</v>
      </c>
      <c r="C132" s="142">
        <v>127</v>
      </c>
      <c r="D132" s="11" t="s">
        <v>48</v>
      </c>
      <c r="E132" s="12" t="s">
        <v>292</v>
      </c>
      <c r="F132" s="13" t="s">
        <v>266</v>
      </c>
      <c r="G132" s="13" t="s">
        <v>56</v>
      </c>
      <c r="H132" s="29" t="s">
        <v>79</v>
      </c>
      <c r="I132" s="14" t="s">
        <v>257</v>
      </c>
      <c r="J132" s="15" t="s">
        <v>80</v>
      </c>
      <c r="K132" s="16" t="s">
        <v>47</v>
      </c>
      <c r="L132" s="148"/>
      <c r="M132" s="17">
        <f>AG131</f>
        <v>9547.66318357001</v>
      </c>
      <c r="N132" s="18">
        <f t="shared" si="12"/>
        <v>95.476631835700104</v>
      </c>
      <c r="O132" s="19">
        <v>0.01</v>
      </c>
      <c r="P132" s="20"/>
      <c r="Q132" s="26">
        <v>1.26908</v>
      </c>
      <c r="R132" s="28">
        <v>1.2699</v>
      </c>
      <c r="S132" s="21">
        <f>IF(R132="","",IF(K132="Long",Q132-R132,R132-Q132))</f>
        <v>8.2000000000004292E-4</v>
      </c>
      <c r="T132" s="22">
        <f t="shared" si="19"/>
        <v>95.476631835700104</v>
      </c>
      <c r="U132" s="27">
        <v>1.2675000000000001</v>
      </c>
      <c r="V132" s="21">
        <f>IF(U132="","",IF(K132="Long",U132-Q132,Q132-U132))</f>
        <v>1.5799999999999148E-3</v>
      </c>
      <c r="W132" s="23">
        <f t="shared" si="13"/>
        <v>183.96716865901234</v>
      </c>
      <c r="X132" s="24">
        <f t="shared" si="17"/>
        <v>1.9268292682924781</v>
      </c>
      <c r="Y132" s="12" t="s">
        <v>292</v>
      </c>
      <c r="Z132" s="28">
        <v>1.2687600000000001</v>
      </c>
      <c r="AA132" s="25">
        <v>-2.48</v>
      </c>
      <c r="AB132" s="25">
        <v>0</v>
      </c>
      <c r="AC132" s="25">
        <v>13</v>
      </c>
      <c r="AD132" s="52">
        <f t="shared" si="18"/>
        <v>10.52</v>
      </c>
      <c r="AE132" s="51">
        <f>IF(Z132="","",IF(K132="Long",Z132-Q132,Q132-Z132))</f>
        <v>3.1999999999987594E-4</v>
      </c>
      <c r="AF132" s="53">
        <f>IF(AE132="","",AC132*O132/T132)</f>
        <v>1.3615897157296987E-3</v>
      </c>
      <c r="AG132" s="146">
        <f>M132+AD132</f>
        <v>9558.1831835700104</v>
      </c>
      <c r="AH132" s="2"/>
      <c r="AI132" s="2"/>
      <c r="AJ132" s="2"/>
      <c r="AK132" s="2"/>
      <c r="AL132" s="2"/>
    </row>
    <row r="133" spans="1:38">
      <c r="A133" s="34"/>
      <c r="B133" s="58" t="s">
        <v>260</v>
      </c>
      <c r="C133" s="54">
        <v>128</v>
      </c>
      <c r="D133" s="11" t="s">
        <v>69</v>
      </c>
      <c r="E133" s="12" t="s">
        <v>293</v>
      </c>
      <c r="F133" s="13" t="s">
        <v>256</v>
      </c>
      <c r="G133" s="13" t="s">
        <v>56</v>
      </c>
      <c r="H133" s="29" t="s">
        <v>59</v>
      </c>
      <c r="I133" s="14" t="s">
        <v>257</v>
      </c>
      <c r="J133" s="15" t="s">
        <v>294</v>
      </c>
      <c r="K133" s="16" t="s">
        <v>68</v>
      </c>
      <c r="L133" s="40" t="s">
        <v>52</v>
      </c>
      <c r="M133" s="17">
        <f>AG132</f>
        <v>9558.1831835700104</v>
      </c>
      <c r="N133" s="18">
        <f t="shared" si="12"/>
        <v>95.5818318357001</v>
      </c>
      <c r="O133" s="19">
        <v>0.01</v>
      </c>
      <c r="P133" s="20"/>
      <c r="Q133" s="26">
        <v>1.07267</v>
      </c>
      <c r="R133" s="28">
        <v>1.0721799999999999</v>
      </c>
      <c r="S133" s="21">
        <f>IF(R133="","",IF(K133="Long",Q133-R133,R133-Q133))</f>
        <v>4.9000000000010147E-4</v>
      </c>
      <c r="T133" s="22">
        <f t="shared" si="19"/>
        <v>95.5818318357001</v>
      </c>
      <c r="U133" s="27">
        <v>1.0734600000000001</v>
      </c>
      <c r="V133" s="21">
        <f>IF(U133="","",IF(K133="Long",U133-Q133,Q133-U133))</f>
        <v>7.9000000000006843E-4</v>
      </c>
      <c r="W133" s="23">
        <f t="shared" si="13"/>
        <v>154.10132071468161</v>
      </c>
      <c r="X133" s="24">
        <f t="shared" si="17"/>
        <v>1.6122448979589894</v>
      </c>
      <c r="Y133" s="12" t="s">
        <v>293</v>
      </c>
      <c r="Z133" s="28">
        <v>1.0730500000000001</v>
      </c>
      <c r="AA133" s="25">
        <v>-3.28</v>
      </c>
      <c r="AB133" s="25">
        <v>0</v>
      </c>
      <c r="AC133" s="25">
        <f>W133</f>
        <v>154.10132071468161</v>
      </c>
      <c r="AD133" s="52">
        <f t="shared" si="18"/>
        <v>150.8213207146816</v>
      </c>
      <c r="AE133" s="51">
        <f>IF(Z133="","",IF(K133="Long",Z133-Q133,Q133-Z133))</f>
        <v>3.8000000000004697E-4</v>
      </c>
      <c r="AF133" s="53">
        <f>IF(AE133="","",AC133*O133/T133)</f>
        <v>1.6122448979589896E-2</v>
      </c>
      <c r="AG133" s="146">
        <f>M133+AD133</f>
        <v>9709.0045042846923</v>
      </c>
      <c r="AH133" s="2"/>
      <c r="AI133" s="2"/>
      <c r="AJ133" s="2"/>
      <c r="AK133" s="2"/>
      <c r="AL133" s="2"/>
    </row>
    <row r="134" spans="1:38">
      <c r="A134" s="34"/>
      <c r="B134" s="58" t="s">
        <v>233</v>
      </c>
      <c r="C134" s="54">
        <v>129</v>
      </c>
      <c r="D134" s="11" t="s">
        <v>82</v>
      </c>
      <c r="E134" s="12" t="s">
        <v>295</v>
      </c>
      <c r="F134" s="13" t="s">
        <v>256</v>
      </c>
      <c r="G134" s="13" t="s">
        <v>97</v>
      </c>
      <c r="H134" s="29" t="s">
        <v>289</v>
      </c>
      <c r="I134" s="14" t="s">
        <v>257</v>
      </c>
      <c r="J134" s="15" t="s">
        <v>294</v>
      </c>
      <c r="K134" s="16" t="s">
        <v>47</v>
      </c>
      <c r="L134" s="40" t="s">
        <v>67</v>
      </c>
      <c r="M134" s="17">
        <f>AG133</f>
        <v>9709.0045042846923</v>
      </c>
      <c r="N134" s="18">
        <f t="shared" ref="N134:N163" si="20">IF(M134="","",O134*M134/100%)</f>
        <v>97.090045042846924</v>
      </c>
      <c r="O134" s="19">
        <v>0.01</v>
      </c>
      <c r="P134" s="20"/>
      <c r="Q134" s="26">
        <v>19803.400000000001</v>
      </c>
      <c r="R134" s="28">
        <v>19811.400000000001</v>
      </c>
      <c r="S134" s="21">
        <f>IF(R134="","",IF(K134="Long",Q134-R134,R134-Q134))</f>
        <v>8</v>
      </c>
      <c r="T134" s="22">
        <f t="shared" si="19"/>
        <v>97.090045042846924</v>
      </c>
      <c r="U134" s="27">
        <v>19780.400000000001</v>
      </c>
      <c r="V134" s="21">
        <f>IF(U134="","",IF(K134="Long",U134-Q134,Q134-U134))</f>
        <v>23</v>
      </c>
      <c r="W134" s="23">
        <f t="shared" ref="W134:W163" si="21">IF(X134="","",X134*T134/1)</f>
        <v>279.13387949818491</v>
      </c>
      <c r="X134" s="24">
        <f t="shared" si="17"/>
        <v>2.875</v>
      </c>
      <c r="Y134" s="12" t="s">
        <v>295</v>
      </c>
      <c r="Z134" s="28">
        <f>R134</f>
        <v>19811.400000000001</v>
      </c>
      <c r="AA134" s="25">
        <v>0</v>
      </c>
      <c r="AB134" s="25">
        <v>0</v>
      </c>
      <c r="AC134" s="25">
        <f>-T134</f>
        <v>-97.090045042846924</v>
      </c>
      <c r="AD134" s="52">
        <f t="shared" si="18"/>
        <v>-97.090045042846924</v>
      </c>
      <c r="AE134" s="51">
        <f>IF(Z134="","",IF(K134="Long",Z134-Q134,Q134-Z134))</f>
        <v>-8</v>
      </c>
      <c r="AF134" s="53">
        <f>IF(AE134="","",AC134*O134/T134)</f>
        <v>-0.01</v>
      </c>
      <c r="AG134" s="146">
        <f>M134+AD134</f>
        <v>9611.9144592418452</v>
      </c>
      <c r="AH134" s="2"/>
      <c r="AI134" s="2"/>
      <c r="AJ134" s="2"/>
      <c r="AK134" s="2"/>
      <c r="AL134" s="2"/>
    </row>
    <row r="135" spans="1:38">
      <c r="A135" s="34"/>
      <c r="B135" s="58" t="s">
        <v>260</v>
      </c>
      <c r="C135" s="54">
        <v>130</v>
      </c>
      <c r="D135" s="11" t="s">
        <v>82</v>
      </c>
      <c r="E135" s="12" t="s">
        <v>295</v>
      </c>
      <c r="F135" s="13" t="s">
        <v>266</v>
      </c>
      <c r="G135" s="13" t="s">
        <v>56</v>
      </c>
      <c r="H135" s="29" t="s">
        <v>106</v>
      </c>
      <c r="I135" s="14" t="s">
        <v>257</v>
      </c>
      <c r="J135" s="15" t="s">
        <v>294</v>
      </c>
      <c r="K135" s="16" t="s">
        <v>47</v>
      </c>
      <c r="L135" s="40" t="s">
        <v>52</v>
      </c>
      <c r="M135" s="17">
        <f>AG134</f>
        <v>9611.9144592418452</v>
      </c>
      <c r="N135" s="18">
        <f t="shared" si="20"/>
        <v>96.119144592418451</v>
      </c>
      <c r="O135" s="19">
        <v>0.01</v>
      </c>
      <c r="P135" s="20"/>
      <c r="Q135" s="26">
        <v>1.3689800000000001</v>
      </c>
      <c r="R135" s="28">
        <v>1.3694900000000001</v>
      </c>
      <c r="S135" s="21">
        <f>IF(R135="","",IF(K135="Long",Q135-R135,R135-Q135))</f>
        <v>5.1000000000001044E-4</v>
      </c>
      <c r="T135" s="22">
        <f t="shared" si="19"/>
        <v>96.119144592418451</v>
      </c>
      <c r="U135" s="27">
        <v>1.3684000000000001</v>
      </c>
      <c r="V135" s="21">
        <f>IF(U135="","",IF(K135="Long",U135-Q135,Q135-U135))</f>
        <v>5.8000000000002494E-4</v>
      </c>
      <c r="W135" s="23">
        <f t="shared" si="21"/>
        <v>109.31196836000777</v>
      </c>
      <c r="X135" s="24">
        <f t="shared" si="17"/>
        <v>1.13725490196081</v>
      </c>
      <c r="Y135" s="12" t="s">
        <v>295</v>
      </c>
      <c r="Z135" s="28">
        <f>U135</f>
        <v>1.3684000000000001</v>
      </c>
      <c r="AA135" s="25">
        <v>-4.12</v>
      </c>
      <c r="AB135" s="25">
        <v>0</v>
      </c>
      <c r="AC135" s="25">
        <f>W135</f>
        <v>109.31196836000777</v>
      </c>
      <c r="AD135" s="52">
        <f t="shared" si="18"/>
        <v>105.19196836000776</v>
      </c>
      <c r="AE135" s="51">
        <f>IF(Z135="","",IF(K135="Long",Z135-Q135,Q135-Z135))</f>
        <v>5.8000000000002494E-4</v>
      </c>
      <c r="AF135" s="53">
        <f>IF(AE135="","",AC135*O135/T135)</f>
        <v>1.1372549019608099E-2</v>
      </c>
      <c r="AG135" s="146">
        <f>M135+AD135</f>
        <v>9717.1064276018533</v>
      </c>
      <c r="AH135" s="2"/>
      <c r="AI135" s="2"/>
      <c r="AJ135" s="2"/>
      <c r="AK135" s="2"/>
      <c r="AL135" s="2"/>
    </row>
    <row r="136" spans="1:38">
      <c r="A136" s="34"/>
      <c r="B136" s="58" t="s">
        <v>260</v>
      </c>
      <c r="C136" s="142">
        <v>131</v>
      </c>
      <c r="D136" s="11" t="s">
        <v>94</v>
      </c>
      <c r="E136" s="12" t="s">
        <v>296</v>
      </c>
      <c r="F136" s="13" t="s">
        <v>256</v>
      </c>
      <c r="G136" s="13" t="s">
        <v>56</v>
      </c>
      <c r="H136" s="29" t="s">
        <v>59</v>
      </c>
      <c r="I136" s="14" t="s">
        <v>257</v>
      </c>
      <c r="J136" s="15" t="s">
        <v>297</v>
      </c>
      <c r="K136" s="16" t="s">
        <v>47</v>
      </c>
      <c r="L136" s="40" t="s">
        <v>52</v>
      </c>
      <c r="M136" s="17">
        <f>AG135</f>
        <v>9717.1064276018533</v>
      </c>
      <c r="N136" s="18">
        <f t="shared" si="20"/>
        <v>97.171064276018541</v>
      </c>
      <c r="O136" s="19">
        <v>0.01</v>
      </c>
      <c r="P136" s="20"/>
      <c r="Q136" s="26">
        <v>1.06951</v>
      </c>
      <c r="R136" s="28">
        <v>1.0699099999999999</v>
      </c>
      <c r="S136" s="21">
        <f>IF(R136="","",IF(K136="Long",Q136-R136,R136-Q136))</f>
        <v>3.9999999999995595E-4</v>
      </c>
      <c r="T136" s="22">
        <f t="shared" si="19"/>
        <v>97.171064276018541</v>
      </c>
      <c r="U136" s="27">
        <v>1.06871</v>
      </c>
      <c r="V136" s="21">
        <f>IF(U136="","",IF(K136="Long",U136-Q136,Q136-U136))</f>
        <v>7.9999999999991189E-4</v>
      </c>
      <c r="W136" s="23">
        <f t="shared" si="21"/>
        <v>194.34212855203708</v>
      </c>
      <c r="X136" s="24">
        <f t="shared" si="17"/>
        <v>2</v>
      </c>
      <c r="Y136" s="12" t="s">
        <v>296</v>
      </c>
      <c r="Z136" s="28">
        <f>U136</f>
        <v>1.06871</v>
      </c>
      <c r="AA136" s="25">
        <v>-3.7</v>
      </c>
      <c r="AB136" s="25">
        <v>0</v>
      </c>
      <c r="AC136" s="25">
        <f>W136</f>
        <v>194.34212855203708</v>
      </c>
      <c r="AD136" s="52">
        <f t="shared" si="18"/>
        <v>190.64212855203709</v>
      </c>
      <c r="AE136" s="51">
        <f>IF(Z136="","",IF(K136="Long",Z136-Q136,Q136-Z136))</f>
        <v>7.9999999999991189E-4</v>
      </c>
      <c r="AF136" s="53">
        <f>IF(AE136="","",AC136*O136/T136)</f>
        <v>0.02</v>
      </c>
      <c r="AG136" s="146">
        <f>M136+AD136</f>
        <v>9907.7485561538906</v>
      </c>
      <c r="AH136" s="2"/>
      <c r="AI136" s="2"/>
      <c r="AJ136" s="2"/>
      <c r="AK136" s="2"/>
      <c r="AL136" s="2"/>
    </row>
    <row r="137" spans="1:38">
      <c r="A137" s="34"/>
      <c r="B137" s="58" t="s">
        <v>260</v>
      </c>
      <c r="C137" s="142">
        <v>132</v>
      </c>
      <c r="D137" s="11" t="s">
        <v>48</v>
      </c>
      <c r="E137" s="12" t="s">
        <v>298</v>
      </c>
      <c r="F137" s="13" t="s">
        <v>256</v>
      </c>
      <c r="G137" s="13" t="s">
        <v>56</v>
      </c>
      <c r="H137" s="29" t="s">
        <v>59</v>
      </c>
      <c r="I137" s="14" t="s">
        <v>257</v>
      </c>
      <c r="J137" s="15" t="s">
        <v>110</v>
      </c>
      <c r="K137" s="16" t="s">
        <v>47</v>
      </c>
      <c r="L137" s="148"/>
      <c r="M137" s="17">
        <f>AG136</f>
        <v>9907.7485561538906</v>
      </c>
      <c r="N137" s="18">
        <f t="shared" si="20"/>
        <v>99.077485561538907</v>
      </c>
      <c r="O137" s="19">
        <v>0.01</v>
      </c>
      <c r="P137" s="20"/>
      <c r="Q137" s="26">
        <v>1.0764899999999999</v>
      </c>
      <c r="R137" s="28">
        <v>1.07734</v>
      </c>
      <c r="S137" s="21">
        <f>IF(R137="","",IF(K137="Long",Q137-R137,R137-Q137))</f>
        <v>8.5000000000001741E-4</v>
      </c>
      <c r="T137" s="22">
        <f t="shared" si="19"/>
        <v>99.077485561538907</v>
      </c>
      <c r="U137" s="27">
        <v>1.07477</v>
      </c>
      <c r="V137" s="21">
        <f>IF(U137="","",IF(K137="Long",U137-Q137,Q137-U137))</f>
        <v>1.7199999999999438E-3</v>
      </c>
      <c r="W137" s="23">
        <f t="shared" si="21"/>
        <v>200.4862060774563</v>
      </c>
      <c r="X137" s="24">
        <f t="shared" si="17"/>
        <v>2.0235294117645983</v>
      </c>
      <c r="Y137" s="12" t="s">
        <v>298</v>
      </c>
      <c r="Z137" s="28">
        <v>1.0762</v>
      </c>
      <c r="AA137" s="25">
        <v>-1.78</v>
      </c>
      <c r="AB137" s="25">
        <v>0</v>
      </c>
      <c r="AC137" s="25">
        <v>26</v>
      </c>
      <c r="AD137" s="52">
        <f t="shared" si="18"/>
        <v>24.22</v>
      </c>
      <c r="AE137" s="51">
        <f>IF(Z137="","",IF(K137="Long",Z137-Q137,Q137-Z137))</f>
        <v>2.8999999999990145E-4</v>
      </c>
      <c r="AF137" s="53">
        <f>IF(AE137="","",AC137*O137/T137)</f>
        <v>2.6242087041915196E-3</v>
      </c>
      <c r="AG137" s="146">
        <f>M137+AD137</f>
        <v>9931.9685561538899</v>
      </c>
      <c r="AH137" s="2"/>
      <c r="AI137" s="2"/>
      <c r="AJ137" s="2"/>
      <c r="AK137" s="2"/>
      <c r="AL137" s="2"/>
    </row>
    <row r="138" spans="1:38">
      <c r="A138" s="34"/>
      <c r="B138" s="58" t="s">
        <v>233</v>
      </c>
      <c r="C138" s="142">
        <v>133</v>
      </c>
      <c r="D138" s="11" t="s">
        <v>69</v>
      </c>
      <c r="E138" s="12" t="s">
        <v>299</v>
      </c>
      <c r="F138" s="13" t="s">
        <v>266</v>
      </c>
      <c r="G138" s="13" t="s">
        <v>97</v>
      </c>
      <c r="H138" s="29" t="s">
        <v>289</v>
      </c>
      <c r="I138" s="14" t="s">
        <v>257</v>
      </c>
      <c r="J138" s="15" t="s">
        <v>80</v>
      </c>
      <c r="K138" s="16" t="s">
        <v>47</v>
      </c>
      <c r="L138" s="40" t="s">
        <v>52</v>
      </c>
      <c r="M138" s="17">
        <f>AG137</f>
        <v>9931.9685561538899</v>
      </c>
      <c r="N138" s="18">
        <f t="shared" si="20"/>
        <v>99.319685561538904</v>
      </c>
      <c r="O138" s="19">
        <v>0.01</v>
      </c>
      <c r="P138" s="20"/>
      <c r="Q138" s="26">
        <v>19855.7</v>
      </c>
      <c r="R138" s="28">
        <v>19885.2</v>
      </c>
      <c r="S138" s="21">
        <f>IF(R138="","",IF(K138="Long",Q138-R138,R138-Q138))</f>
        <v>29.5</v>
      </c>
      <c r="T138" s="22">
        <f t="shared" si="19"/>
        <v>99.319685561538904</v>
      </c>
      <c r="U138" s="27">
        <v>19803.8</v>
      </c>
      <c r="V138" s="21">
        <f>IF(U138="","",IF(K138="Long",U138-Q138,Q138-U138))</f>
        <v>51.900000000001455</v>
      </c>
      <c r="W138" s="23">
        <f t="shared" si="21"/>
        <v>174.73531120827164</v>
      </c>
      <c r="X138" s="24">
        <f t="shared" si="17"/>
        <v>1.7593220338983544</v>
      </c>
      <c r="Y138" s="12" t="s">
        <v>299</v>
      </c>
      <c r="Z138" s="28">
        <f>U138</f>
        <v>19803.8</v>
      </c>
      <c r="AA138" s="25">
        <v>0</v>
      </c>
      <c r="AB138" s="25">
        <v>0</v>
      </c>
      <c r="AC138" s="25">
        <f>W138</f>
        <v>174.73531120827164</v>
      </c>
      <c r="AD138" s="52">
        <f t="shared" si="18"/>
        <v>174.73531120827164</v>
      </c>
      <c r="AE138" s="51">
        <f>IF(Z138="","",IF(K138="Long",Z138-Q138,Q138-Z138))</f>
        <v>51.900000000001455</v>
      </c>
      <c r="AF138" s="53">
        <f>IF(AE138="","",AC138*O138/T138)</f>
        <v>1.7593220338983542E-2</v>
      </c>
      <c r="AG138" s="146">
        <f>M138+AD138</f>
        <v>10106.703867362161</v>
      </c>
      <c r="AH138" s="2"/>
      <c r="AI138" s="2"/>
      <c r="AJ138" s="2"/>
      <c r="AK138" s="2"/>
      <c r="AL138" s="2"/>
    </row>
    <row r="139" spans="1:38">
      <c r="A139" s="34"/>
      <c r="B139" s="58" t="s">
        <v>260</v>
      </c>
      <c r="C139" s="142">
        <v>134</v>
      </c>
      <c r="D139" s="11" t="s">
        <v>82</v>
      </c>
      <c r="E139" s="12" t="s">
        <v>300</v>
      </c>
      <c r="F139" s="13" t="s">
        <v>256</v>
      </c>
      <c r="G139" s="13" t="s">
        <v>56</v>
      </c>
      <c r="H139" s="29" t="s">
        <v>59</v>
      </c>
      <c r="I139" s="14" t="s">
        <v>257</v>
      </c>
      <c r="J139" s="15" t="s">
        <v>297</v>
      </c>
      <c r="K139" s="16" t="s">
        <v>47</v>
      </c>
      <c r="L139" s="40" t="s">
        <v>52</v>
      </c>
      <c r="M139" s="17">
        <f>AG138</f>
        <v>10106.703867362161</v>
      </c>
      <c r="N139" s="18">
        <f t="shared" si="20"/>
        <v>101.06703867362161</v>
      </c>
      <c r="O139" s="19">
        <v>0.01</v>
      </c>
      <c r="P139" s="20"/>
      <c r="Q139" s="26">
        <v>1.07578</v>
      </c>
      <c r="R139" s="28">
        <v>1.0764</v>
      </c>
      <c r="S139" s="21">
        <f>IF(R139="","",IF(K139="Long",Q139-R139,R139-Q139))</f>
        <v>6.2000000000006494E-4</v>
      </c>
      <c r="T139" s="22">
        <f t="shared" si="19"/>
        <v>101.06703867362161</v>
      </c>
      <c r="U139" s="27">
        <v>1.0745400000000001</v>
      </c>
      <c r="V139" s="21">
        <f>IF(U139="","",IF(K139="Long",U139-Q139,Q139-U139))</f>
        <v>1.2399999999999078E-3</v>
      </c>
      <c r="W139" s="23">
        <f t="shared" si="21"/>
        <v>202.13407734720701</v>
      </c>
      <c r="X139" s="24">
        <f t="shared" si="17"/>
        <v>1.9999999999996418</v>
      </c>
      <c r="Y139" s="12" t="s">
        <v>300</v>
      </c>
      <c r="Z139" s="28">
        <v>1.07545</v>
      </c>
      <c r="AA139" s="25">
        <v>-2.48</v>
      </c>
      <c r="AB139" s="25">
        <v>0</v>
      </c>
      <c r="AC139" s="25">
        <v>50</v>
      </c>
      <c r="AD139" s="52">
        <f t="shared" si="18"/>
        <v>47.52</v>
      </c>
      <c r="AE139" s="51">
        <f>IF(Z139="","",IF(K139="Long",Z139-Q139,Q139-Z139))</f>
        <v>3.2999999999994145E-4</v>
      </c>
      <c r="AF139" s="53">
        <f>IF(AE139="","",AC139*O139/T139)</f>
        <v>4.9472113417180739E-3</v>
      </c>
      <c r="AG139" s="146">
        <f>M139+AD139</f>
        <v>10154.223867362161</v>
      </c>
      <c r="AH139" s="2"/>
      <c r="AI139" s="2"/>
      <c r="AJ139" s="2"/>
      <c r="AK139" s="2"/>
      <c r="AL139" s="2"/>
    </row>
    <row r="140" spans="1:38">
      <c r="A140" s="34"/>
      <c r="B140" s="58" t="s">
        <v>260</v>
      </c>
      <c r="C140" s="142">
        <v>135</v>
      </c>
      <c r="D140" s="11" t="s">
        <v>82</v>
      </c>
      <c r="E140" s="12" t="s">
        <v>300</v>
      </c>
      <c r="F140" s="13" t="s">
        <v>256</v>
      </c>
      <c r="G140" s="13" t="s">
        <v>56</v>
      </c>
      <c r="H140" s="29" t="s">
        <v>59</v>
      </c>
      <c r="I140" s="14" t="s">
        <v>257</v>
      </c>
      <c r="J140" s="15" t="s">
        <v>297</v>
      </c>
      <c r="K140" s="16" t="s">
        <v>47</v>
      </c>
      <c r="L140" s="40" t="s">
        <v>52</v>
      </c>
      <c r="M140" s="17">
        <f>AG139</f>
        <v>10154.223867362161</v>
      </c>
      <c r="N140" s="18">
        <f t="shared" si="20"/>
        <v>101.54223867362161</v>
      </c>
      <c r="O140" s="19">
        <v>0.01</v>
      </c>
      <c r="P140" s="20"/>
      <c r="Q140" s="26">
        <v>1.0760099999999999</v>
      </c>
      <c r="R140" s="28">
        <v>1.0764</v>
      </c>
      <c r="S140" s="21">
        <f>IF(R140="","",IF(K140="Long",Q140-R140,R140-Q140))</f>
        <v>3.9000000000011248E-4</v>
      </c>
      <c r="T140" s="22">
        <f t="shared" si="19"/>
        <v>101.54223867362161</v>
      </c>
      <c r="U140" s="27">
        <v>1.0745400000000001</v>
      </c>
      <c r="V140" s="21">
        <f>IF(U140="","",IF(K140="Long",U140-Q140,Q140-U140))</f>
        <v>1.4699999999998603E-3</v>
      </c>
      <c r="W140" s="23">
        <f t="shared" si="21"/>
        <v>382.73613038504243</v>
      </c>
      <c r="X140" s="24">
        <f t="shared" si="17"/>
        <v>3.7692307692293241</v>
      </c>
      <c r="Y140" s="12" t="s">
        <v>300</v>
      </c>
      <c r="Z140" s="28">
        <v>1.07545</v>
      </c>
      <c r="AA140" s="25">
        <v>-4.04</v>
      </c>
      <c r="AB140" s="25">
        <v>0</v>
      </c>
      <c r="AC140" s="25">
        <v>150</v>
      </c>
      <c r="AD140" s="52">
        <f t="shared" si="18"/>
        <v>145.96</v>
      </c>
      <c r="AE140" s="51">
        <f>IF(Z140="","",IF(K140="Long",Z140-Q140,Q140-Z140))</f>
        <v>5.5999999999989392E-4</v>
      </c>
      <c r="AF140" s="53">
        <f>IF(AE140="","",AC140*O140/T140)</f>
        <v>1.4772177761624102E-2</v>
      </c>
      <c r="AG140" s="146">
        <f>M140+AD140</f>
        <v>10300.183867362161</v>
      </c>
      <c r="AH140" s="2"/>
      <c r="AI140" s="2"/>
      <c r="AJ140" s="2"/>
      <c r="AK140" s="2"/>
      <c r="AL140" s="2"/>
    </row>
    <row r="141" spans="1:38">
      <c r="A141" s="34"/>
      <c r="B141" s="58" t="s">
        <v>260</v>
      </c>
      <c r="C141" s="142">
        <v>136</v>
      </c>
      <c r="D141" s="11" t="s">
        <v>94</v>
      </c>
      <c r="E141" s="12" t="s">
        <v>301</v>
      </c>
      <c r="F141" s="13" t="s">
        <v>256</v>
      </c>
      <c r="G141" s="13" t="s">
        <v>56</v>
      </c>
      <c r="H141" s="29" t="s">
        <v>106</v>
      </c>
      <c r="I141" s="14" t="s">
        <v>257</v>
      </c>
      <c r="J141" s="15" t="s">
        <v>80</v>
      </c>
      <c r="K141" s="16" t="s">
        <v>68</v>
      </c>
      <c r="L141" s="40" t="s">
        <v>67</v>
      </c>
      <c r="M141" s="17">
        <f>AG140</f>
        <v>10300.183867362161</v>
      </c>
      <c r="N141" s="18">
        <f t="shared" si="20"/>
        <v>103.00183867362161</v>
      </c>
      <c r="O141" s="19">
        <v>0.01</v>
      </c>
      <c r="P141" s="20"/>
      <c r="Q141" s="26">
        <v>1.36233</v>
      </c>
      <c r="R141" s="28">
        <v>1.3619300000000001</v>
      </c>
      <c r="S141" s="21">
        <f>IF(R141="","",IF(K141="Long",Q141-R141,R141-Q141))</f>
        <v>3.9999999999995595E-4</v>
      </c>
      <c r="T141" s="22">
        <f t="shared" si="19"/>
        <v>103.00183867362161</v>
      </c>
      <c r="U141" s="27">
        <v>1.36344</v>
      </c>
      <c r="V141" s="21">
        <f>IF(U141="","",IF(K141="Long",U141-Q141,Q141-U141))</f>
        <v>1.1099999999999444E-3</v>
      </c>
      <c r="W141" s="23">
        <f t="shared" si="21"/>
        <v>285.83010231931712</v>
      </c>
      <c r="X141" s="24">
        <f t="shared" si="17"/>
        <v>2.7750000000001664</v>
      </c>
      <c r="Y141" s="12" t="s">
        <v>301</v>
      </c>
      <c r="Z141" s="28">
        <f>R141</f>
        <v>1.3619300000000001</v>
      </c>
      <c r="AA141" s="25">
        <v>-5.14</v>
      </c>
      <c r="AB141" s="25">
        <v>0</v>
      </c>
      <c r="AC141" s="25">
        <f>-T141</f>
        <v>-103.00183867362161</v>
      </c>
      <c r="AD141" s="52">
        <f t="shared" si="18"/>
        <v>-108.14183867362161</v>
      </c>
      <c r="AE141" s="51">
        <f>IF(Z141="","",IF(K141="Long",Z141-Q141,Q141-Z141))</f>
        <v>-3.9999999999995595E-4</v>
      </c>
      <c r="AF141" s="53">
        <f>IF(AE141="","",AC141*O141/T141)</f>
        <v>-0.01</v>
      </c>
      <c r="AG141" s="146">
        <f>M141+AD141</f>
        <v>10192.042028688538</v>
      </c>
      <c r="AH141" s="2"/>
      <c r="AI141" s="2"/>
      <c r="AJ141" s="2"/>
      <c r="AK141" s="2"/>
      <c r="AL141" s="2"/>
    </row>
    <row r="142" spans="1:38">
      <c r="A142" s="34"/>
      <c r="B142" s="58" t="s">
        <v>260</v>
      </c>
      <c r="C142" s="142">
        <v>137</v>
      </c>
      <c r="D142" s="11" t="s">
        <v>48</v>
      </c>
      <c r="E142" s="12" t="s">
        <v>302</v>
      </c>
      <c r="F142" s="13" t="s">
        <v>266</v>
      </c>
      <c r="G142" s="13" t="s">
        <v>56</v>
      </c>
      <c r="H142" s="29" t="s">
        <v>79</v>
      </c>
      <c r="I142" s="14" t="s">
        <v>257</v>
      </c>
      <c r="J142" s="15" t="s">
        <v>294</v>
      </c>
      <c r="K142" s="16" t="s">
        <v>68</v>
      </c>
      <c r="L142" s="40" t="s">
        <v>67</v>
      </c>
      <c r="M142" s="17">
        <f>AG141</f>
        <v>10192.042028688538</v>
      </c>
      <c r="N142" s="18">
        <f t="shared" si="20"/>
        <v>101.92042028688539</v>
      </c>
      <c r="O142" s="19">
        <v>0.01</v>
      </c>
      <c r="P142" s="20"/>
      <c r="Q142" s="26">
        <v>1.2979099999999999</v>
      </c>
      <c r="R142" s="28">
        <v>1.2973399999999999</v>
      </c>
      <c r="S142" s="21">
        <f>IF(R142="","",IF(K142="Long",Q142-R142,R142-Q142))</f>
        <v>5.6999999999995943E-4</v>
      </c>
      <c r="T142" s="22">
        <f t="shared" si="19"/>
        <v>101.92042028688539</v>
      </c>
      <c r="U142" s="27">
        <v>1.29905</v>
      </c>
      <c r="V142" s="21">
        <f>IF(U142="","",IF(K142="Long",U142-Q142,Q142-U142))</f>
        <v>1.1400000000001409E-3</v>
      </c>
      <c r="W142" s="23">
        <f t="shared" si="21"/>
        <v>203.84084057381048</v>
      </c>
      <c r="X142" s="24">
        <f t="shared" si="17"/>
        <v>2.0000000000003895</v>
      </c>
      <c r="Y142" s="12" t="s">
        <v>302</v>
      </c>
      <c r="Z142" s="28">
        <f>R142</f>
        <v>1.2973399999999999</v>
      </c>
      <c r="AA142" s="25">
        <v>-5.42</v>
      </c>
      <c r="AB142" s="25">
        <v>0</v>
      </c>
      <c r="AC142" s="25">
        <f>-T142</f>
        <v>-101.92042028688539</v>
      </c>
      <c r="AD142" s="52">
        <f t="shared" si="18"/>
        <v>-107.34042028688539</v>
      </c>
      <c r="AE142" s="51">
        <f>IF(Z142="","",IF(K142="Long",Z142-Q142,Q142-Z142))</f>
        <v>-5.6999999999995943E-4</v>
      </c>
      <c r="AF142" s="53">
        <f>IF(AE142="","",AC142*O142/T142)</f>
        <v>-0.01</v>
      </c>
      <c r="AG142" s="146">
        <f>M142+AD142</f>
        <v>10084.701608401652</v>
      </c>
      <c r="AH142" s="2"/>
      <c r="AI142" s="2"/>
      <c r="AJ142" s="2"/>
      <c r="AK142" s="2"/>
      <c r="AL142" s="2"/>
    </row>
    <row r="143" spans="1:38">
      <c r="A143" s="34"/>
      <c r="B143" s="58" t="s">
        <v>260</v>
      </c>
      <c r="C143" s="54">
        <v>138</v>
      </c>
      <c r="D143" s="11" t="s">
        <v>82</v>
      </c>
      <c r="E143" s="12" t="s">
        <v>303</v>
      </c>
      <c r="F143" s="13" t="s">
        <v>256</v>
      </c>
      <c r="G143" s="13" t="s">
        <v>56</v>
      </c>
      <c r="H143" s="29" t="s">
        <v>59</v>
      </c>
      <c r="I143" s="14" t="s">
        <v>257</v>
      </c>
      <c r="J143" s="15" t="s">
        <v>80</v>
      </c>
      <c r="K143" s="16" t="s">
        <v>47</v>
      </c>
      <c r="L143" s="40" t="s">
        <v>67</v>
      </c>
      <c r="M143" s="17">
        <f>AG142</f>
        <v>10084.701608401652</v>
      </c>
      <c r="N143" s="18">
        <f t="shared" si="20"/>
        <v>100.84701608401653</v>
      </c>
      <c r="O143" s="19">
        <v>0.01</v>
      </c>
      <c r="P143" s="20"/>
      <c r="Q143" s="26">
        <v>1.09392</v>
      </c>
      <c r="R143" s="28">
        <v>1.0943400000000001</v>
      </c>
      <c r="S143" s="21">
        <f>IF(R143="","",IF(K143="Long",Q143-R143,R143-Q143))</f>
        <v>4.2000000000008697E-4</v>
      </c>
      <c r="T143" s="22">
        <f t="shared" si="19"/>
        <v>100.84701608401653</v>
      </c>
      <c r="U143" s="27">
        <v>1.0926499999999999</v>
      </c>
      <c r="V143" s="21">
        <f>IF(U143="","",IF(K143="Long",U143-Q143,Q143-U143))</f>
        <v>1.2700000000001044E-3</v>
      </c>
      <c r="W143" s="23">
        <f t="shared" si="21"/>
        <v>304.94216768258332</v>
      </c>
      <c r="X143" s="24">
        <f t="shared" si="17"/>
        <v>3.0238095238091462</v>
      </c>
      <c r="Y143" s="12" t="s">
        <v>303</v>
      </c>
      <c r="Z143" s="28">
        <f>R143</f>
        <v>1.0943400000000001</v>
      </c>
      <c r="AA143" s="25">
        <v>-7.1</v>
      </c>
      <c r="AB143" s="25">
        <v>0</v>
      </c>
      <c r="AC143" s="25">
        <f>-T143</f>
        <v>-100.84701608401653</v>
      </c>
      <c r="AD143" s="52">
        <f t="shared" si="18"/>
        <v>-107.94701608401652</v>
      </c>
      <c r="AE143" s="51">
        <f>IF(Z143="","",IF(K143="Long",Z143-Q143,Q143-Z143))</f>
        <v>-4.2000000000008697E-4</v>
      </c>
      <c r="AF143" s="53">
        <f>IF(AE143="","",AC143*O143/T143)</f>
        <v>-0.01</v>
      </c>
      <c r="AG143" s="146">
        <f>M143+AD143</f>
        <v>9976.7545923176349</v>
      </c>
      <c r="AH143" s="2"/>
      <c r="AI143" s="2"/>
      <c r="AJ143" s="2"/>
      <c r="AK143" s="2"/>
      <c r="AL143" s="2"/>
    </row>
    <row r="144" spans="1:38">
      <c r="A144" s="34"/>
      <c r="B144" s="58" t="s">
        <v>260</v>
      </c>
      <c r="C144" s="54">
        <v>139</v>
      </c>
      <c r="D144" s="11" t="s">
        <v>94</v>
      </c>
      <c r="E144" s="12" t="s">
        <v>304</v>
      </c>
      <c r="F144" s="13" t="s">
        <v>256</v>
      </c>
      <c r="G144" s="13" t="s">
        <v>56</v>
      </c>
      <c r="H144" s="29" t="s">
        <v>59</v>
      </c>
      <c r="I144" s="14" t="s">
        <v>257</v>
      </c>
      <c r="J144" s="15" t="s">
        <v>65</v>
      </c>
      <c r="K144" s="16" t="s">
        <v>68</v>
      </c>
      <c r="L144" s="40" t="s">
        <v>67</v>
      </c>
      <c r="M144" s="17">
        <f>AG143</f>
        <v>9976.7545923176349</v>
      </c>
      <c r="N144" s="18">
        <f t="shared" si="20"/>
        <v>99.767545923176357</v>
      </c>
      <c r="O144" s="19">
        <v>0.01</v>
      </c>
      <c r="P144" s="20"/>
      <c r="Q144" s="26">
        <v>1.09341</v>
      </c>
      <c r="R144" s="28">
        <v>1.0929899999999999</v>
      </c>
      <c r="S144" s="21">
        <f>IF(R144="","",IF(K144="Long",Q144-R144,R144-Q144))</f>
        <v>4.2000000000008697E-4</v>
      </c>
      <c r="T144" s="22">
        <f t="shared" si="19"/>
        <v>99.767545923176357</v>
      </c>
      <c r="U144" s="27">
        <v>1.09429</v>
      </c>
      <c r="V144" s="21">
        <f>IF(U144="","",IF(K144="Long",U144-Q144,Q144-U144))</f>
        <v>8.799999999999919E-4</v>
      </c>
      <c r="W144" s="23">
        <f t="shared" si="21"/>
        <v>209.03676288661001</v>
      </c>
      <c r="X144" s="24">
        <f t="shared" si="17"/>
        <v>2.0952380952376419</v>
      </c>
      <c r="Y144" s="12" t="s">
        <v>304</v>
      </c>
      <c r="Z144" s="28">
        <f>R144</f>
        <v>1.0929899999999999</v>
      </c>
      <c r="AA144" s="25">
        <v>-7.36</v>
      </c>
      <c r="AB144" s="25">
        <v>0</v>
      </c>
      <c r="AC144" s="25">
        <f>-T144</f>
        <v>-99.767545923176357</v>
      </c>
      <c r="AD144" s="52">
        <f t="shared" si="18"/>
        <v>-107.12754592317636</v>
      </c>
      <c r="AE144" s="51">
        <f>IF(Z144="","",IF(K144="Long",Z144-Q144,Q144-Z144))</f>
        <v>-4.2000000000008697E-4</v>
      </c>
      <c r="AF144" s="53">
        <f>IF(AE144="","",AC144*O144/T144)</f>
        <v>-0.01</v>
      </c>
      <c r="AG144" s="146">
        <f>M144+AD144</f>
        <v>9869.6270463944584</v>
      </c>
      <c r="AH144" s="2"/>
      <c r="AI144" s="2"/>
      <c r="AJ144" s="2"/>
      <c r="AK144" s="2"/>
      <c r="AL144" s="2"/>
    </row>
    <row r="145" spans="1:38">
      <c r="A145" s="34"/>
      <c r="B145" s="58" t="s">
        <v>260</v>
      </c>
      <c r="C145" s="54">
        <v>140</v>
      </c>
      <c r="D145" s="11" t="s">
        <v>94</v>
      </c>
      <c r="E145" s="12" t="s">
        <v>304</v>
      </c>
      <c r="F145" s="13" t="s">
        <v>266</v>
      </c>
      <c r="G145" s="13" t="s">
        <v>56</v>
      </c>
      <c r="H145" s="29" t="s">
        <v>79</v>
      </c>
      <c r="I145" s="14" t="s">
        <v>257</v>
      </c>
      <c r="J145" s="15" t="s">
        <v>80</v>
      </c>
      <c r="K145" s="16" t="s">
        <v>68</v>
      </c>
      <c r="L145" s="40" t="s">
        <v>67</v>
      </c>
      <c r="M145" s="17">
        <f>AG144</f>
        <v>9869.6270463944584</v>
      </c>
      <c r="N145" s="18">
        <f t="shared" si="20"/>
        <v>98.696270463944586</v>
      </c>
      <c r="O145" s="19">
        <v>0.01</v>
      </c>
      <c r="P145" s="20"/>
      <c r="Q145" s="26">
        <v>1.29809</v>
      </c>
      <c r="R145" s="28">
        <v>1.2976799999999999</v>
      </c>
      <c r="S145" s="21">
        <f>IF(R145="","",IF(K145="Long",Q145-R145,R145-Q145))</f>
        <v>4.1000000000002146E-4</v>
      </c>
      <c r="T145" s="22">
        <f t="shared" si="19"/>
        <v>98.696270463944586</v>
      </c>
      <c r="U145" s="26">
        <v>1.2995699999999999</v>
      </c>
      <c r="V145" s="21">
        <f>IF(U145="","",IF(K145="Long",U145-Q145,Q145-U145))</f>
        <v>1.4799999999999258E-3</v>
      </c>
      <c r="W145" s="23">
        <f t="shared" si="21"/>
        <v>356.26946411371466</v>
      </c>
      <c r="X145" s="24">
        <f t="shared" si="17"/>
        <v>3.6097560975606058</v>
      </c>
      <c r="Y145" s="12" t="s">
        <v>304</v>
      </c>
      <c r="Z145" s="28">
        <f>R145</f>
        <v>1.2976799999999999</v>
      </c>
      <c r="AA145" s="25">
        <v>-3.68</v>
      </c>
      <c r="AB145" s="25">
        <v>0</v>
      </c>
      <c r="AC145" s="25">
        <f>-T145</f>
        <v>-98.696270463944586</v>
      </c>
      <c r="AD145" s="52">
        <f t="shared" si="18"/>
        <v>-102.37627046394459</v>
      </c>
      <c r="AE145" s="51">
        <f>IF(Z145="","",IF(K145="Long",Z145-Q145,Q145-Z145))</f>
        <v>-4.1000000000002146E-4</v>
      </c>
      <c r="AF145" s="53">
        <f>IF(AE145="","",AC145*O145/T145)</f>
        <v>-0.01</v>
      </c>
      <c r="AG145" s="146">
        <f>M145+AD145</f>
        <v>9767.2507759305136</v>
      </c>
      <c r="AH145" s="2"/>
      <c r="AI145" s="2"/>
      <c r="AJ145" s="2"/>
      <c r="AK145" s="2"/>
      <c r="AL145" s="2"/>
    </row>
    <row r="146" spans="1:38">
      <c r="A146" s="34"/>
      <c r="B146" s="58" t="s">
        <v>260</v>
      </c>
      <c r="C146" s="142">
        <v>141</v>
      </c>
      <c r="D146" s="11" t="s">
        <v>48</v>
      </c>
      <c r="E146" s="12" t="s">
        <v>305</v>
      </c>
      <c r="F146" s="13" t="s">
        <v>256</v>
      </c>
      <c r="G146" s="13" t="s">
        <v>56</v>
      </c>
      <c r="H146" s="29" t="s">
        <v>59</v>
      </c>
      <c r="I146" s="14" t="s">
        <v>257</v>
      </c>
      <c r="J146" s="15" t="s">
        <v>80</v>
      </c>
      <c r="K146" s="16" t="s">
        <v>68</v>
      </c>
      <c r="L146" s="40" t="s">
        <v>67</v>
      </c>
      <c r="M146" s="17">
        <f>AG145</f>
        <v>9767.2507759305136</v>
      </c>
      <c r="N146" s="18">
        <f t="shared" si="20"/>
        <v>97.672507759305134</v>
      </c>
      <c r="O146" s="19">
        <v>0.01</v>
      </c>
      <c r="P146" s="20"/>
      <c r="Q146" s="26">
        <v>1.08873</v>
      </c>
      <c r="R146" s="28">
        <v>1.0883400000000001</v>
      </c>
      <c r="S146" s="21">
        <f>IF(R146="","",IF(K146="Long",Q146-R146,R146-Q146))</f>
        <v>3.8999999999989043E-4</v>
      </c>
      <c r="T146" s="22">
        <f t="shared" si="19"/>
        <v>97.672507759305134</v>
      </c>
      <c r="U146" s="27">
        <v>1.08917</v>
      </c>
      <c r="V146" s="21">
        <f>IF(U146="","",IF(K146="Long",U146-Q146,Q146-U146))</f>
        <v>4.3999999999999595E-4</v>
      </c>
      <c r="W146" s="23">
        <f t="shared" si="21"/>
        <v>110.19462413873318</v>
      </c>
      <c r="X146" s="24">
        <f t="shared" si="17"/>
        <v>1.1282051282054348</v>
      </c>
      <c r="Y146" s="12" t="s">
        <v>305</v>
      </c>
      <c r="Z146" s="28">
        <f>R146</f>
        <v>1.0883400000000001</v>
      </c>
      <c r="AA146" s="25">
        <v>-7.78</v>
      </c>
      <c r="AB146" s="25">
        <v>0</v>
      </c>
      <c r="AC146" s="25">
        <f>-T146</f>
        <v>-97.672507759305134</v>
      </c>
      <c r="AD146" s="52">
        <f t="shared" si="18"/>
        <v>-105.45250775930513</v>
      </c>
      <c r="AE146" s="51">
        <f>IF(Z146="","",IF(K146="Long",Z146-Q146,Q146-Z146))</f>
        <v>-3.8999999999989043E-4</v>
      </c>
      <c r="AF146" s="53">
        <f>IF(AE146="","",AC146*O146/T146)</f>
        <v>-0.01</v>
      </c>
      <c r="AG146" s="146">
        <f>M146+AD146</f>
        <v>9661.7982681712092</v>
      </c>
      <c r="AH146" s="2"/>
      <c r="AI146" s="2"/>
      <c r="AJ146" s="2"/>
      <c r="AK146" s="2"/>
      <c r="AL146" s="2"/>
    </row>
    <row r="147" spans="1:38">
      <c r="A147" s="34"/>
      <c r="B147" s="58" t="s">
        <v>260</v>
      </c>
      <c r="C147" s="142">
        <v>142</v>
      </c>
      <c r="D147" s="11" t="s">
        <v>48</v>
      </c>
      <c r="E147" s="12" t="s">
        <v>305</v>
      </c>
      <c r="F147" s="13" t="s">
        <v>256</v>
      </c>
      <c r="G147" s="13" t="s">
        <v>56</v>
      </c>
      <c r="H147" s="29" t="s">
        <v>59</v>
      </c>
      <c r="I147" s="14" t="s">
        <v>257</v>
      </c>
      <c r="J147" s="15" t="s">
        <v>80</v>
      </c>
      <c r="K147" s="16" t="s">
        <v>68</v>
      </c>
      <c r="L147" s="40" t="s">
        <v>67</v>
      </c>
      <c r="M147" s="17">
        <f>AG146</f>
        <v>9661.7982681712092</v>
      </c>
      <c r="N147" s="18">
        <f t="shared" si="20"/>
        <v>96.617982681712093</v>
      </c>
      <c r="O147" s="19">
        <v>0.01</v>
      </c>
      <c r="P147" s="20"/>
      <c r="Q147" s="26">
        <v>1.0885</v>
      </c>
      <c r="R147" s="28">
        <v>1.0881000000000001</v>
      </c>
      <c r="S147" s="21">
        <f>IF(R147="","",IF(K147="Long",Q147-R147,R147-Q147))</f>
        <v>3.9999999999995595E-4</v>
      </c>
      <c r="T147" s="22">
        <f t="shared" si="19"/>
        <v>96.617982681712093</v>
      </c>
      <c r="U147" s="27">
        <v>1.0892999999999999</v>
      </c>
      <c r="V147" s="21">
        <f>IF(U147="","",IF(K147="Long",U147-Q147,Q147-U147))</f>
        <v>7.9999999999991189E-4</v>
      </c>
      <c r="W147" s="23">
        <f t="shared" si="21"/>
        <v>193.23596536342419</v>
      </c>
      <c r="X147" s="24">
        <f t="shared" si="17"/>
        <v>2</v>
      </c>
      <c r="Y147" s="12" t="s">
        <v>305</v>
      </c>
      <c r="Z147" s="28">
        <f>R147</f>
        <v>1.0881000000000001</v>
      </c>
      <c r="AA147" s="25">
        <v>-7.5</v>
      </c>
      <c r="AB147" s="25">
        <v>0</v>
      </c>
      <c r="AC147" s="25">
        <f>-T147</f>
        <v>-96.617982681712093</v>
      </c>
      <c r="AD147" s="52">
        <f t="shared" si="18"/>
        <v>-104.11798268171209</v>
      </c>
      <c r="AE147" s="51">
        <f>IF(Z147="","",IF(K147="Long",Z147-Q147,Q147-Z147))</f>
        <v>-3.9999999999995595E-4</v>
      </c>
      <c r="AF147" s="53">
        <f>IF(AE147="","",AC147*O147/T147)</f>
        <v>-0.01</v>
      </c>
      <c r="AG147" s="146">
        <f>M147+AD147</f>
        <v>9557.6802854894977</v>
      </c>
      <c r="AH147" s="2"/>
      <c r="AI147" s="2"/>
      <c r="AJ147" s="2"/>
      <c r="AK147" s="2"/>
      <c r="AL147" s="2"/>
    </row>
    <row r="148" spans="1:38">
      <c r="A148" s="34"/>
      <c r="B148" s="58" t="s">
        <v>260</v>
      </c>
      <c r="C148" s="142">
        <v>143</v>
      </c>
      <c r="D148" s="11" t="s">
        <v>48</v>
      </c>
      <c r="E148" s="12" t="s">
        <v>305</v>
      </c>
      <c r="F148" s="13" t="s">
        <v>256</v>
      </c>
      <c r="G148" s="13" t="s">
        <v>56</v>
      </c>
      <c r="H148" s="29" t="s">
        <v>59</v>
      </c>
      <c r="I148" s="14" t="s">
        <v>257</v>
      </c>
      <c r="J148" s="15" t="s">
        <v>65</v>
      </c>
      <c r="K148" s="16" t="s">
        <v>68</v>
      </c>
      <c r="L148" s="40" t="s">
        <v>52</v>
      </c>
      <c r="M148" s="17">
        <f>AG147</f>
        <v>9557.6802854894977</v>
      </c>
      <c r="N148" s="18">
        <f t="shared" si="20"/>
        <v>95.576802854894979</v>
      </c>
      <c r="O148" s="19">
        <v>0.01</v>
      </c>
      <c r="P148" s="20"/>
      <c r="Q148" s="26">
        <v>1.08857</v>
      </c>
      <c r="R148" s="28">
        <v>1.0880300000000001</v>
      </c>
      <c r="S148" s="21">
        <f>IF(R148="","",IF(K148="Long",Q148-R148,R148-Q148))</f>
        <v>5.3999999999998494E-4</v>
      </c>
      <c r="T148" s="22">
        <f t="shared" si="19"/>
        <v>95.576802854894979</v>
      </c>
      <c r="U148" s="27">
        <v>1.08965</v>
      </c>
      <c r="V148" s="21">
        <f>IF(U148="","",IF(K148="Long",U148-Q148,Q148-U148))</f>
        <v>1.0799999999999699E-3</v>
      </c>
      <c r="W148" s="23">
        <f t="shared" si="21"/>
        <v>191.15360570978996</v>
      </c>
      <c r="X148" s="24">
        <f t="shared" ref="X148:X163" si="22">IF(V148="","",V148*1/S148)</f>
        <v>2</v>
      </c>
      <c r="Y148" s="12" t="s">
        <v>305</v>
      </c>
      <c r="Z148" s="28">
        <v>1.08908</v>
      </c>
      <c r="AA148" s="25">
        <v>-5.34</v>
      </c>
      <c r="AB148" s="25">
        <v>0</v>
      </c>
      <c r="AC148" s="25">
        <f>W148</f>
        <v>191.15360570978996</v>
      </c>
      <c r="AD148" s="52">
        <f t="shared" ref="AD148:AD163" si="23">IF(AC148="","",AC148+AB148+AA148)</f>
        <v>185.81360570978995</v>
      </c>
      <c r="AE148" s="51">
        <f>IF(Z148="","",IF(K148="Long",Z148-Q148,Q148-Z148))</f>
        <v>5.1000000000001044E-4</v>
      </c>
      <c r="AF148" s="53">
        <f>IF(AE148="","",AC148*O148/T148)</f>
        <v>0.02</v>
      </c>
      <c r="AG148" s="146">
        <f>M148+AD148</f>
        <v>9743.4938911992867</v>
      </c>
      <c r="AH148" s="2"/>
      <c r="AI148" s="2"/>
      <c r="AJ148" s="2"/>
      <c r="AK148" s="2"/>
      <c r="AL148" s="2"/>
    </row>
    <row r="149" spans="1:38">
      <c r="A149" s="34"/>
      <c r="B149" s="58" t="s">
        <v>260</v>
      </c>
      <c r="C149" s="142">
        <v>144</v>
      </c>
      <c r="D149" s="11" t="s">
        <v>48</v>
      </c>
      <c r="E149" s="12" t="s">
        <v>305</v>
      </c>
      <c r="F149" s="13" t="s">
        <v>266</v>
      </c>
      <c r="G149" s="13" t="s">
        <v>56</v>
      </c>
      <c r="H149" s="29" t="s">
        <v>79</v>
      </c>
      <c r="I149" s="14" t="s">
        <v>257</v>
      </c>
      <c r="J149" s="15" t="s">
        <v>297</v>
      </c>
      <c r="K149" s="16" t="s">
        <v>47</v>
      </c>
      <c r="L149" s="40" t="s">
        <v>52</v>
      </c>
      <c r="M149" s="17">
        <f>AG148</f>
        <v>9743.4938911992867</v>
      </c>
      <c r="N149" s="18">
        <f t="shared" si="20"/>
        <v>97.434938911992873</v>
      </c>
      <c r="O149" s="19">
        <v>0.01</v>
      </c>
      <c r="P149" s="20"/>
      <c r="Q149" s="26">
        <v>1.2935000000000001</v>
      </c>
      <c r="R149" s="28">
        <v>1.2942499999999999</v>
      </c>
      <c r="S149" s="21">
        <f>IF(R149="","",IF(K149="Long",Q149-R149,R149-Q149))</f>
        <v>7.4999999999980638E-4</v>
      </c>
      <c r="T149" s="22">
        <f t="shared" si="19"/>
        <v>97.434938911992873</v>
      </c>
      <c r="U149" s="28">
        <v>1.2921800000000001</v>
      </c>
      <c r="V149" s="21">
        <f>IF(U149="","",IF(K149="Long",U149-Q149,Q149-U149))</f>
        <v>1.3199999999999878E-3</v>
      </c>
      <c r="W149" s="23">
        <f t="shared" si="21"/>
        <v>171.48549248515013</v>
      </c>
      <c r="X149" s="24">
        <f t="shared" si="22"/>
        <v>1.7600000000004381</v>
      </c>
      <c r="Y149" s="12" t="s">
        <v>305</v>
      </c>
      <c r="Z149" s="28">
        <f>U149</f>
        <v>1.2921800000000001</v>
      </c>
      <c r="AA149" s="25">
        <v>-4</v>
      </c>
      <c r="AB149" s="25">
        <v>0</v>
      </c>
      <c r="AC149" s="25">
        <f>W149</f>
        <v>171.48549248515013</v>
      </c>
      <c r="AD149" s="52">
        <f t="shared" si="23"/>
        <v>167.48549248515013</v>
      </c>
      <c r="AE149" s="51">
        <f>IF(Z149="","",IF(K149="Long",Z149-Q149,Q149-Z149))</f>
        <v>1.3199999999999878E-3</v>
      </c>
      <c r="AF149" s="53">
        <f>IF(AE149="","",AC149*O149/T149)</f>
        <v>1.760000000000438E-2</v>
      </c>
      <c r="AG149" s="146">
        <f>M149+AD149</f>
        <v>9910.9793836844365</v>
      </c>
      <c r="AH149" s="2"/>
      <c r="AI149" s="2"/>
      <c r="AJ149" s="2"/>
      <c r="AK149" s="2"/>
      <c r="AL149" s="2"/>
    </row>
    <row r="150" spans="1:38">
      <c r="A150" s="34"/>
      <c r="B150" s="58" t="s">
        <v>260</v>
      </c>
      <c r="C150" s="142">
        <v>145</v>
      </c>
      <c r="D150" s="11" t="s">
        <v>69</v>
      </c>
      <c r="E150" s="12" t="s">
        <v>306</v>
      </c>
      <c r="F150" s="13" t="s">
        <v>256</v>
      </c>
      <c r="G150" s="13" t="s">
        <v>56</v>
      </c>
      <c r="H150" s="29" t="s">
        <v>79</v>
      </c>
      <c r="I150" s="14" t="s">
        <v>257</v>
      </c>
      <c r="J150" s="15" t="s">
        <v>119</v>
      </c>
      <c r="K150" s="16" t="s">
        <v>68</v>
      </c>
      <c r="L150" s="40" t="s">
        <v>67</v>
      </c>
      <c r="M150" s="17">
        <f>AG149</f>
        <v>9910.9793836844365</v>
      </c>
      <c r="N150" s="18">
        <f t="shared" si="20"/>
        <v>99.109793836844361</v>
      </c>
      <c r="O150" s="19">
        <v>0.01</v>
      </c>
      <c r="P150" s="20"/>
      <c r="Q150" s="26">
        <v>1.2920100000000001</v>
      </c>
      <c r="R150" s="28">
        <v>1.29138</v>
      </c>
      <c r="S150" s="21">
        <f>IF(R150="","",IF(K150="Long",Q150-R150,R150-Q150))</f>
        <v>6.3000000000013046E-4</v>
      </c>
      <c r="T150" s="22">
        <f t="shared" si="19"/>
        <v>99.109793836844361</v>
      </c>
      <c r="U150" s="27">
        <v>1.2932699999999999</v>
      </c>
      <c r="V150" s="21">
        <f>IF(U150="","",IF(K150="Long",U150-Q150,Q150-U150))</f>
        <v>1.2599999999998168E-3</v>
      </c>
      <c r="W150" s="23">
        <f t="shared" si="21"/>
        <v>198.21958767361886</v>
      </c>
      <c r="X150" s="24">
        <f t="shared" si="22"/>
        <v>1.999999999999295</v>
      </c>
      <c r="Y150" s="12" t="s">
        <v>306</v>
      </c>
      <c r="Z150" s="28">
        <f>R150</f>
        <v>1.29138</v>
      </c>
      <c r="AA150" s="25">
        <v>-4.78</v>
      </c>
      <c r="AB150" s="25">
        <v>0</v>
      </c>
      <c r="AC150" s="25">
        <f>-T150</f>
        <v>-99.109793836844361</v>
      </c>
      <c r="AD150" s="52">
        <f t="shared" si="23"/>
        <v>-103.88979383684436</v>
      </c>
      <c r="AE150" s="51">
        <f>IF(Z150="","",IF(K150="Long",Z150-Q150,Q150-Z150))</f>
        <v>-6.3000000000013046E-4</v>
      </c>
      <c r="AF150" s="53">
        <f>IF(AE150="","",AC150*O150/T150)</f>
        <v>-0.01</v>
      </c>
      <c r="AG150" s="146">
        <f>M150+AD150</f>
        <v>9807.0895898475919</v>
      </c>
      <c r="AH150" s="2"/>
      <c r="AI150" s="2"/>
      <c r="AJ150" s="2"/>
      <c r="AK150" s="2"/>
      <c r="AL150" s="2"/>
    </row>
    <row r="151" spans="1:38">
      <c r="A151" s="34"/>
      <c r="B151" s="58" t="s">
        <v>260</v>
      </c>
      <c r="C151" s="142">
        <v>146</v>
      </c>
      <c r="D151" s="11" t="s">
        <v>69</v>
      </c>
      <c r="E151" s="12" t="s">
        <v>306</v>
      </c>
      <c r="F151" s="13" t="s">
        <v>256</v>
      </c>
      <c r="G151" s="13" t="s">
        <v>56</v>
      </c>
      <c r="H151" s="29" t="s">
        <v>59</v>
      </c>
      <c r="I151" s="14" t="s">
        <v>257</v>
      </c>
      <c r="J151" s="15" t="s">
        <v>80</v>
      </c>
      <c r="K151" s="16" t="s">
        <v>68</v>
      </c>
      <c r="L151" s="40" t="s">
        <v>67</v>
      </c>
      <c r="M151" s="17">
        <f>AG150</f>
        <v>9807.0895898475919</v>
      </c>
      <c r="N151" s="18">
        <f t="shared" si="20"/>
        <v>98.070895898475925</v>
      </c>
      <c r="O151" s="19">
        <v>0.01</v>
      </c>
      <c r="P151" s="20"/>
      <c r="Q151" s="26">
        <v>1.0875699999999999</v>
      </c>
      <c r="R151" s="28">
        <v>1.0870599999999999</v>
      </c>
      <c r="S151" s="21">
        <f>IF(R151="","",IF(K151="Long",Q151-R151,R151-Q151))</f>
        <v>5.1000000000001044E-4</v>
      </c>
      <c r="T151" s="22">
        <f t="shared" si="19"/>
        <v>98.070895898475925</v>
      </c>
      <c r="U151" s="27">
        <v>1.08887</v>
      </c>
      <c r="V151" s="21">
        <f>IF(U151="","",IF(K151="Long",U151-Q151,Q151-U151))</f>
        <v>1.3000000000000789E-3</v>
      </c>
      <c r="W151" s="23">
        <f t="shared" si="21"/>
        <v>249.98463660396828</v>
      </c>
      <c r="X151" s="24">
        <f t="shared" si="22"/>
        <v>2.5490196078432397</v>
      </c>
      <c r="Y151" s="12" t="s">
        <v>306</v>
      </c>
      <c r="Z151" s="28">
        <f>R151</f>
        <v>1.0870599999999999</v>
      </c>
      <c r="AA151" s="25">
        <v>-5.96</v>
      </c>
      <c r="AB151" s="25">
        <v>0</v>
      </c>
      <c r="AC151" s="25">
        <f>-T151</f>
        <v>-98.070895898475925</v>
      </c>
      <c r="AD151" s="52">
        <f t="shared" si="23"/>
        <v>-104.03089589847592</v>
      </c>
      <c r="AE151" s="51">
        <f>IF(Z151="","",IF(K151="Long",Z151-Q151,Q151-Z151))</f>
        <v>-5.1000000000001044E-4</v>
      </c>
      <c r="AF151" s="53">
        <f>IF(AE151="","",AC151*O151/T151)</f>
        <v>-0.01</v>
      </c>
      <c r="AG151" s="146">
        <f>M151+AD151</f>
        <v>9703.0586939491168</v>
      </c>
      <c r="AH151" s="2"/>
      <c r="AI151" s="2"/>
      <c r="AJ151" s="2"/>
      <c r="AK151" s="2"/>
      <c r="AL151" s="2"/>
    </row>
    <row r="152" spans="1:38">
      <c r="A152" s="34"/>
      <c r="B152" s="58" t="s">
        <v>260</v>
      </c>
      <c r="C152" s="142">
        <v>147</v>
      </c>
      <c r="D152" s="11" t="s">
        <v>82</v>
      </c>
      <c r="E152" s="12" t="s">
        <v>307</v>
      </c>
      <c r="F152" s="13" t="s">
        <v>256</v>
      </c>
      <c r="G152" s="13" t="s">
        <v>56</v>
      </c>
      <c r="H152" s="29" t="s">
        <v>59</v>
      </c>
      <c r="I152" s="14" t="s">
        <v>257</v>
      </c>
      <c r="J152" s="15" t="s">
        <v>65</v>
      </c>
      <c r="K152" s="16" t="s">
        <v>68</v>
      </c>
      <c r="L152" s="40" t="s">
        <v>52</v>
      </c>
      <c r="M152" s="17">
        <f>AG151</f>
        <v>9703.0586939491168</v>
      </c>
      <c r="N152" s="18">
        <f t="shared" si="20"/>
        <v>97.030586939491172</v>
      </c>
      <c r="O152" s="19">
        <v>0.01</v>
      </c>
      <c r="P152" s="20"/>
      <c r="Q152" s="26">
        <v>1.08345</v>
      </c>
      <c r="R152" s="28">
        <v>1.08274</v>
      </c>
      <c r="S152" s="21">
        <f>IF(R152="","",IF(K152="Long",Q152-R152,R152-Q152))</f>
        <v>7.0999999999998842E-4</v>
      </c>
      <c r="T152" s="22">
        <f t="shared" si="19"/>
        <v>97.030586939491172</v>
      </c>
      <c r="U152" s="27">
        <v>1.085</v>
      </c>
      <c r="V152" s="21">
        <f>IF(U152="","",IF(K152="Long",U152-Q152,Q152-U152))</f>
        <v>1.5499999999999403E-3</v>
      </c>
      <c r="W152" s="23">
        <f t="shared" si="21"/>
        <v>211.82733768479994</v>
      </c>
      <c r="X152" s="24">
        <f t="shared" si="22"/>
        <v>2.1830985915492471</v>
      </c>
      <c r="Y152" s="12" t="s">
        <v>307</v>
      </c>
      <c r="Z152" s="28">
        <f>U152</f>
        <v>1.085</v>
      </c>
      <c r="AA152" s="25">
        <v>-4.01</v>
      </c>
      <c r="AB152" s="25">
        <v>0</v>
      </c>
      <c r="AC152" s="25">
        <f>W152</f>
        <v>211.82733768479994</v>
      </c>
      <c r="AD152" s="52">
        <f t="shared" si="23"/>
        <v>207.81733768479995</v>
      </c>
      <c r="AE152" s="51">
        <f>IF(Z152="","",IF(K152="Long",Z152-Q152,Q152-Z152))</f>
        <v>1.5499999999999403E-3</v>
      </c>
      <c r="AF152" s="53">
        <f>IF(AE152="","",AC152*O152/T152)</f>
        <v>2.1830985915492471E-2</v>
      </c>
      <c r="AG152" s="146">
        <f>M152+AD152</f>
        <v>9910.8760316339176</v>
      </c>
      <c r="AH152" s="2"/>
      <c r="AI152" s="2"/>
      <c r="AJ152" s="2"/>
      <c r="AK152" s="2"/>
      <c r="AL152" s="2"/>
    </row>
    <row r="153" spans="1:38">
      <c r="A153" s="34"/>
      <c r="B153" s="58" t="s">
        <v>260</v>
      </c>
      <c r="C153" s="54">
        <v>148</v>
      </c>
      <c r="D153" s="11" t="s">
        <v>94</v>
      </c>
      <c r="E153" s="12" t="s">
        <v>308</v>
      </c>
      <c r="F153" s="13" t="s">
        <v>256</v>
      </c>
      <c r="G153" s="13" t="s">
        <v>56</v>
      </c>
      <c r="H153" s="29" t="s">
        <v>79</v>
      </c>
      <c r="I153" s="14" t="s">
        <v>257</v>
      </c>
      <c r="J153" s="15" t="s">
        <v>294</v>
      </c>
      <c r="K153" s="16" t="s">
        <v>68</v>
      </c>
      <c r="L153" s="40" t="s">
        <v>67</v>
      </c>
      <c r="M153" s="17">
        <f>AG152</f>
        <v>9910.8760316339176</v>
      </c>
      <c r="N153" s="18">
        <f t="shared" si="20"/>
        <v>99.108760316339172</v>
      </c>
      <c r="O153" s="19">
        <v>0.01</v>
      </c>
      <c r="P153" s="20"/>
      <c r="Q153" s="26">
        <v>1.2883599999999999</v>
      </c>
      <c r="R153" s="28">
        <v>1.2879100000000001</v>
      </c>
      <c r="S153" s="21">
        <f>IF(R153="","",IF(K153="Long",Q153-R153,R153-Q153))</f>
        <v>4.4999999999983942E-4</v>
      </c>
      <c r="T153" s="22">
        <f t="shared" si="19"/>
        <v>99.108760316339172</v>
      </c>
      <c r="U153" s="27">
        <v>1.28956</v>
      </c>
      <c r="V153" s="21">
        <f>IF(U153="","",IF(K153="Long",U153-Q153,Q153-U153))</f>
        <v>1.2000000000000899E-3</v>
      </c>
      <c r="W153" s="23">
        <f t="shared" si="21"/>
        <v>264.29002751035188</v>
      </c>
      <c r="X153" s="24">
        <f t="shared" si="22"/>
        <v>2.666666666667818</v>
      </c>
      <c r="Y153" s="12" t="s">
        <v>308</v>
      </c>
      <c r="Z153" s="28">
        <f>R153</f>
        <v>1.2879100000000001</v>
      </c>
      <c r="AA153" s="25">
        <v>-6.48</v>
      </c>
      <c r="AB153" s="25">
        <v>0</v>
      </c>
      <c r="AC153" s="25">
        <f>-T153</f>
        <v>-99.108760316339172</v>
      </c>
      <c r="AD153" s="52">
        <f t="shared" si="23"/>
        <v>-105.58876031633918</v>
      </c>
      <c r="AE153" s="51">
        <f>IF(Z153="","",IF(K153="Long",Z153-Q153,Q153-Z153))</f>
        <v>-4.4999999999983942E-4</v>
      </c>
      <c r="AF153" s="53">
        <f>IF(AE153="","",AC153*O153/T153)</f>
        <v>-0.01</v>
      </c>
      <c r="AG153" s="146">
        <f>M153+AD153</f>
        <v>9805.2872713175784</v>
      </c>
      <c r="AH153" s="2"/>
      <c r="AI153" s="2"/>
      <c r="AJ153" s="2"/>
      <c r="AK153" s="2"/>
      <c r="AL153" s="2"/>
    </row>
    <row r="154" spans="1:38">
      <c r="A154" s="34"/>
      <c r="B154" s="58" t="s">
        <v>260</v>
      </c>
      <c r="C154" s="54">
        <v>149</v>
      </c>
      <c r="D154" s="11" t="s">
        <v>94</v>
      </c>
      <c r="E154" s="12" t="s">
        <v>308</v>
      </c>
      <c r="F154" s="13" t="s">
        <v>256</v>
      </c>
      <c r="G154" s="13" t="s">
        <v>56</v>
      </c>
      <c r="H154" s="29" t="s">
        <v>59</v>
      </c>
      <c r="I154" s="14" t="s">
        <v>257</v>
      </c>
      <c r="J154" s="15" t="s">
        <v>80</v>
      </c>
      <c r="K154" s="16" t="s">
        <v>68</v>
      </c>
      <c r="L154" s="40" t="s">
        <v>52</v>
      </c>
      <c r="M154" s="17">
        <f>AG153</f>
        <v>9805.2872713175784</v>
      </c>
      <c r="N154" s="18">
        <f t="shared" si="20"/>
        <v>98.052872713175788</v>
      </c>
      <c r="O154" s="19">
        <v>0.01</v>
      </c>
      <c r="P154" s="20"/>
      <c r="Q154" s="26">
        <v>1.08321</v>
      </c>
      <c r="R154" s="28">
        <v>1.0827800000000001</v>
      </c>
      <c r="S154" s="21">
        <f>IF(R154="","",IF(K154="Long",Q154-R154,R154-Q154))</f>
        <v>4.2999999999993044E-4</v>
      </c>
      <c r="T154" s="22">
        <f t="shared" si="19"/>
        <v>98.052872713175788</v>
      </c>
      <c r="U154" s="27">
        <v>1.0839799999999999</v>
      </c>
      <c r="V154" s="21">
        <f>IF(U154="","",IF(K154="Long",U154-Q154,Q154-U154))</f>
        <v>7.699999999999374E-4</v>
      </c>
      <c r="W154" s="23">
        <f t="shared" si="21"/>
        <v>175.58305113756148</v>
      </c>
      <c r="X154" s="24">
        <f t="shared" si="22"/>
        <v>1.7906976744187488</v>
      </c>
      <c r="Y154" s="12" t="s">
        <v>308</v>
      </c>
      <c r="Z154" s="28">
        <f>U154</f>
        <v>1.0839799999999999</v>
      </c>
      <c r="AA154" s="25">
        <v>-6.56</v>
      </c>
      <c r="AB154" s="25">
        <v>0</v>
      </c>
      <c r="AC154" s="25">
        <f>W154</f>
        <v>175.58305113756148</v>
      </c>
      <c r="AD154" s="52">
        <f t="shared" si="23"/>
        <v>169.02305113756148</v>
      </c>
      <c r="AE154" s="51">
        <f>IF(Z154="","",IF(K154="Long",Z154-Q154,Q154-Z154))</f>
        <v>7.699999999999374E-4</v>
      </c>
      <c r="AF154" s="53">
        <f>IF(AE154="","",AC154*O154/T154)</f>
        <v>1.7906976744187491E-2</v>
      </c>
      <c r="AG154" s="146">
        <f>M154+AD154</f>
        <v>9974.3103224551396</v>
      </c>
      <c r="AH154" s="2"/>
      <c r="AI154" s="2"/>
      <c r="AJ154" s="2"/>
      <c r="AK154" s="2"/>
      <c r="AL154" s="2"/>
    </row>
    <row r="155" spans="1:38">
      <c r="A155" s="34"/>
      <c r="B155" s="58" t="s">
        <v>260</v>
      </c>
      <c r="C155" s="54">
        <v>150</v>
      </c>
      <c r="D155" s="11" t="s">
        <v>102</v>
      </c>
      <c r="E155" s="12" t="s">
        <v>309</v>
      </c>
      <c r="F155" s="13" t="s">
        <v>256</v>
      </c>
      <c r="G155" s="13" t="s">
        <v>56</v>
      </c>
      <c r="H155" s="29" t="s">
        <v>79</v>
      </c>
      <c r="I155" s="14" t="s">
        <v>257</v>
      </c>
      <c r="J155" s="15" t="s">
        <v>294</v>
      </c>
      <c r="K155" s="16" t="s">
        <v>47</v>
      </c>
      <c r="L155" s="40" t="s">
        <v>67</v>
      </c>
      <c r="M155" s="17">
        <f>AG154</f>
        <v>9974.3103224551396</v>
      </c>
      <c r="N155" s="18">
        <f t="shared" si="20"/>
        <v>99.743103224551405</v>
      </c>
      <c r="O155" s="19">
        <v>0.01</v>
      </c>
      <c r="P155" s="20"/>
      <c r="Q155" s="26">
        <v>1.2864199999999999</v>
      </c>
      <c r="R155" s="28">
        <v>1.28704</v>
      </c>
      <c r="S155" s="21">
        <f>IF(R155="","",IF(K155="Long",Q155-R155,R155-Q155))</f>
        <v>6.2000000000006494E-4</v>
      </c>
      <c r="T155" s="22">
        <f t="shared" ref="T155:T163" si="24">IF(S155="","",N155)</f>
        <v>99.743103224551405</v>
      </c>
      <c r="U155" s="27">
        <v>1.2845599999999999</v>
      </c>
      <c r="V155" s="21">
        <f>IF(U155="","",IF(K155="Long",U155-Q155,Q155-U155))</f>
        <v>1.8599999999999728E-3</v>
      </c>
      <c r="W155" s="23">
        <f t="shared" si="21"/>
        <v>299.2293096736185</v>
      </c>
      <c r="X155" s="24">
        <f t="shared" si="22"/>
        <v>2.9999999999996421</v>
      </c>
      <c r="Y155" s="12" t="s">
        <v>309</v>
      </c>
      <c r="Z155" s="28">
        <f>R155</f>
        <v>1.28704</v>
      </c>
      <c r="AA155" s="25">
        <v>-4.9800000000000004</v>
      </c>
      <c r="AB155" s="25">
        <v>0</v>
      </c>
      <c r="AC155" s="25">
        <f>-T155</f>
        <v>-99.743103224551405</v>
      </c>
      <c r="AD155" s="52">
        <f t="shared" si="23"/>
        <v>-104.72310322455141</v>
      </c>
      <c r="AE155" s="51">
        <f>IF(Z155="","",IF(K155="Long",Z155-Q155,Q155-Z155))</f>
        <v>-6.2000000000006494E-4</v>
      </c>
      <c r="AF155" s="53">
        <f>IF(AE155="","",AC155*O155/T155)</f>
        <v>-0.01</v>
      </c>
      <c r="AG155" s="146">
        <f>M155+AD155</f>
        <v>9869.5872192305887</v>
      </c>
      <c r="AH155" s="2"/>
      <c r="AI155" s="2"/>
      <c r="AJ155" s="2"/>
      <c r="AK155" s="2"/>
      <c r="AL155" s="2"/>
    </row>
    <row r="156" spans="1:38">
      <c r="A156" s="34"/>
      <c r="B156" s="58" t="s">
        <v>260</v>
      </c>
      <c r="C156" s="142">
        <v>151</v>
      </c>
      <c r="D156" s="11" t="s">
        <v>102</v>
      </c>
      <c r="E156" s="12" t="s">
        <v>310</v>
      </c>
      <c r="F156" s="13" t="s">
        <v>256</v>
      </c>
      <c r="G156" s="13" t="s">
        <v>56</v>
      </c>
      <c r="H156" s="29" t="s">
        <v>79</v>
      </c>
      <c r="I156" s="14" t="s">
        <v>257</v>
      </c>
      <c r="J156" s="15" t="s">
        <v>294</v>
      </c>
      <c r="K156" s="16" t="s">
        <v>47</v>
      </c>
      <c r="L156" s="40" t="s">
        <v>67</v>
      </c>
      <c r="M156" s="17">
        <f>AG155</f>
        <v>9869.5872192305887</v>
      </c>
      <c r="N156" s="18">
        <f t="shared" si="20"/>
        <v>98.695872192305885</v>
      </c>
      <c r="O156" s="19">
        <v>0.01</v>
      </c>
      <c r="P156" s="20"/>
      <c r="Q156" s="26">
        <v>1.2865</v>
      </c>
      <c r="R156" s="28">
        <v>1.28694</v>
      </c>
      <c r="S156" s="21">
        <f>IF(R156="","",IF(K156="Long",Q156-R156,R156-Q156))</f>
        <v>4.3999999999999595E-4</v>
      </c>
      <c r="T156" s="22">
        <f t="shared" si="24"/>
        <v>98.695872192305885</v>
      </c>
      <c r="U156" s="27">
        <v>1.2851699999999999</v>
      </c>
      <c r="V156" s="21">
        <f>IF(U156="","",IF(K156="Long",U156-Q156,Q156-U156))</f>
        <v>1.3300000000000534E-3</v>
      </c>
      <c r="W156" s="23">
        <f t="shared" si="21"/>
        <v>298.33070458130294</v>
      </c>
      <c r="X156" s="24">
        <f t="shared" si="22"/>
        <v>3.0227272727274217</v>
      </c>
      <c r="Y156" s="12" t="s">
        <v>310</v>
      </c>
      <c r="Z156" s="28">
        <f>R156</f>
        <v>1.28694</v>
      </c>
      <c r="AA156" s="25">
        <v>-6.78</v>
      </c>
      <c r="AB156" s="25">
        <v>0</v>
      </c>
      <c r="AC156" s="25">
        <f>-T156</f>
        <v>-98.695872192305885</v>
      </c>
      <c r="AD156" s="52">
        <f t="shared" si="23"/>
        <v>-105.47587219230589</v>
      </c>
      <c r="AE156" s="51">
        <f>IF(Z156="","",IF(K156="Long",Z156-Q156,Q156-Z156))</f>
        <v>-4.3999999999999595E-4</v>
      </c>
      <c r="AF156" s="53">
        <f>IF(AE156="","",AC156*O156/T156)</f>
        <v>-0.01</v>
      </c>
      <c r="AG156" s="146">
        <f>M156+AD156</f>
        <v>9764.1113470382825</v>
      </c>
      <c r="AH156" s="2"/>
      <c r="AI156" s="2"/>
      <c r="AJ156" s="2"/>
      <c r="AK156" s="2"/>
      <c r="AL156" s="2"/>
    </row>
    <row r="157" spans="1:38">
      <c r="A157" s="34"/>
      <c r="B157" s="58" t="s">
        <v>260</v>
      </c>
      <c r="C157" s="142">
        <v>152</v>
      </c>
      <c r="D157" s="11" t="s">
        <v>48</v>
      </c>
      <c r="E157" s="12" t="s">
        <v>311</v>
      </c>
      <c r="F157" s="13" t="s">
        <v>266</v>
      </c>
      <c r="G157" s="13" t="s">
        <v>56</v>
      </c>
      <c r="H157" s="29" t="s">
        <v>79</v>
      </c>
      <c r="I157" s="14" t="s">
        <v>257</v>
      </c>
      <c r="J157" s="15" t="s">
        <v>80</v>
      </c>
      <c r="K157" s="16" t="s">
        <v>68</v>
      </c>
      <c r="L157" s="40" t="s">
        <v>52</v>
      </c>
      <c r="M157" s="17">
        <f>AG156</f>
        <v>9764.1113470382825</v>
      </c>
      <c r="N157" s="18">
        <f t="shared" si="20"/>
        <v>97.641113470382834</v>
      </c>
      <c r="O157" s="19">
        <v>0.01</v>
      </c>
      <c r="P157" s="20"/>
      <c r="Q157" s="26">
        <v>1.2827999999999999</v>
      </c>
      <c r="R157" s="28">
        <v>1.2823199999999999</v>
      </c>
      <c r="S157" s="21">
        <f>IF(R157="","",IF(K157="Long",Q157-R157,R157-Q157))</f>
        <v>4.8000000000003595E-4</v>
      </c>
      <c r="T157" s="22">
        <f t="shared" si="24"/>
        <v>97.641113470382834</v>
      </c>
      <c r="U157" s="27">
        <v>1.2835799999999999</v>
      </c>
      <c r="V157" s="21">
        <f>IF(U157="","",IF(K157="Long",U157-Q157,Q157-U157))</f>
        <v>7.8000000000000291E-4</v>
      </c>
      <c r="W157" s="23">
        <f t="shared" si="21"/>
        <v>158.66680938936082</v>
      </c>
      <c r="X157" s="24">
        <f t="shared" si="22"/>
        <v>1.6249999999998843</v>
      </c>
      <c r="Y157" s="12" t="s">
        <v>311</v>
      </c>
      <c r="Z157" s="28">
        <f>U157</f>
        <v>1.2835799999999999</v>
      </c>
      <c r="AA157" s="25">
        <v>-6.54</v>
      </c>
      <c r="AB157" s="25">
        <v>0</v>
      </c>
      <c r="AC157" s="25">
        <f>W157</f>
        <v>158.66680938936082</v>
      </c>
      <c r="AD157" s="52">
        <f t="shared" si="23"/>
        <v>152.12680938936083</v>
      </c>
      <c r="AE157" s="51">
        <f>IF(Z157="","",IF(K157="Long",Z157-Q157,Q157-Z157))</f>
        <v>7.8000000000000291E-4</v>
      </c>
      <c r="AF157" s="53">
        <f>IF(AE157="","",AC157*O157/T157)</f>
        <v>1.6249999999998845E-2</v>
      </c>
      <c r="AG157" s="146">
        <f>M157+AD157</f>
        <v>9916.2381564276438</v>
      </c>
      <c r="AH157" s="2"/>
      <c r="AI157" s="2"/>
      <c r="AJ157" s="2"/>
      <c r="AK157" s="2"/>
      <c r="AL157" s="2"/>
    </row>
    <row r="158" spans="1:38">
      <c r="A158" s="34"/>
      <c r="B158" s="58" t="s">
        <v>260</v>
      </c>
      <c r="C158" s="142">
        <v>153</v>
      </c>
      <c r="D158" s="11" t="s">
        <v>69</v>
      </c>
      <c r="E158" s="12" t="s">
        <v>312</v>
      </c>
      <c r="F158" s="13" t="s">
        <v>266</v>
      </c>
      <c r="G158" s="13" t="s">
        <v>56</v>
      </c>
      <c r="H158" s="29" t="s">
        <v>59</v>
      </c>
      <c r="I158" s="14" t="s">
        <v>257</v>
      </c>
      <c r="J158" s="15" t="s">
        <v>294</v>
      </c>
      <c r="K158" s="16" t="s">
        <v>68</v>
      </c>
      <c r="L158" s="40" t="s">
        <v>67</v>
      </c>
      <c r="M158" s="17">
        <f>AG157</f>
        <v>9916.2381564276438</v>
      </c>
      <c r="N158" s="18">
        <f t="shared" si="20"/>
        <v>99.162381564276444</v>
      </c>
      <c r="O158" s="19">
        <v>0.01</v>
      </c>
      <c r="P158" s="20"/>
      <c r="Q158" s="26">
        <v>1.08097</v>
      </c>
      <c r="R158" s="28">
        <v>1.0801000000000001</v>
      </c>
      <c r="S158" s="21">
        <f>IF(R158="","",IF(K158="Long",Q158-R158,R158-Q158))</f>
        <v>8.6999999999992639E-4</v>
      </c>
      <c r="T158" s="22">
        <f t="shared" si="24"/>
        <v>99.162381564276444</v>
      </c>
      <c r="U158" s="27">
        <v>1.0827100000000001</v>
      </c>
      <c r="V158" s="21">
        <f>IF(U158="","",IF(K158="Long",U158-Q158,Q158-U158))</f>
        <v>1.7400000000000748E-3</v>
      </c>
      <c r="W158" s="23">
        <f t="shared" si="21"/>
        <v>198.32476312857821</v>
      </c>
      <c r="X158" s="24">
        <f t="shared" si="22"/>
        <v>2.0000000000002554</v>
      </c>
      <c r="Y158" s="12" t="s">
        <v>312</v>
      </c>
      <c r="Z158" s="28">
        <f>R158</f>
        <v>1.0801000000000001</v>
      </c>
      <c r="AA158" s="25">
        <v>-3.16</v>
      </c>
      <c r="AB158" s="25">
        <v>0</v>
      </c>
      <c r="AC158" s="25">
        <f>-T158</f>
        <v>-99.162381564276444</v>
      </c>
      <c r="AD158" s="52">
        <f t="shared" si="23"/>
        <v>-102.32238156427644</v>
      </c>
      <c r="AE158" s="51">
        <f>IF(Z158="","",IF(K158="Long",Z158-Q158,Q158-Z158))</f>
        <v>-8.6999999999992639E-4</v>
      </c>
      <c r="AF158" s="53">
        <f>IF(AE158="","",AC158*O158/T158)</f>
        <v>-0.01</v>
      </c>
      <c r="AG158" s="146">
        <f>M158+AD158</f>
        <v>9813.9157748633679</v>
      </c>
      <c r="AH158" s="2"/>
      <c r="AI158" s="2"/>
      <c r="AJ158" s="2"/>
      <c r="AK158" s="2"/>
      <c r="AL158" s="2"/>
    </row>
    <row r="159" spans="1:38">
      <c r="A159" s="34"/>
      <c r="B159" s="58" t="s">
        <v>260</v>
      </c>
      <c r="C159" s="142">
        <v>154</v>
      </c>
      <c r="D159" s="11" t="s">
        <v>82</v>
      </c>
      <c r="E159" s="12" t="s">
        <v>313</v>
      </c>
      <c r="F159" s="13" t="s">
        <v>266</v>
      </c>
      <c r="G159" s="13" t="s">
        <v>56</v>
      </c>
      <c r="H159" s="29" t="s">
        <v>59</v>
      </c>
      <c r="I159" s="14" t="s">
        <v>257</v>
      </c>
      <c r="J159" s="15" t="s">
        <v>294</v>
      </c>
      <c r="K159" s="16" t="s">
        <v>47</v>
      </c>
      <c r="L159" s="40" t="s">
        <v>67</v>
      </c>
      <c r="M159" s="17">
        <f>AG158</f>
        <v>9813.9157748633679</v>
      </c>
      <c r="N159" s="18">
        <f t="shared" si="20"/>
        <v>98.139157748633679</v>
      </c>
      <c r="O159" s="19">
        <v>0.01</v>
      </c>
      <c r="P159" s="20"/>
      <c r="Q159" s="26">
        <v>1.08311</v>
      </c>
      <c r="R159" s="28">
        <v>1.0836399999999999</v>
      </c>
      <c r="S159" s="21">
        <f>IF(R159="","",IF(K159="Long",Q159-R159,R159-Q159))</f>
        <v>5.2999999999991942E-4</v>
      </c>
      <c r="T159" s="22">
        <f t="shared" si="24"/>
        <v>98.139157748633679</v>
      </c>
      <c r="U159" s="27">
        <v>1.0820399999999999</v>
      </c>
      <c r="V159" s="21">
        <f>IF(U159="","",IF(K159="Long",U159-Q159,Q159-U159))</f>
        <v>1.0700000000001264E-3</v>
      </c>
      <c r="W159" s="23">
        <f t="shared" si="21"/>
        <v>198.12999771899322</v>
      </c>
      <c r="X159" s="24">
        <f t="shared" si="22"/>
        <v>2.0188679245288474</v>
      </c>
      <c r="Y159" s="12" t="s">
        <v>313</v>
      </c>
      <c r="Z159" s="28">
        <f>R159</f>
        <v>1.0836399999999999</v>
      </c>
      <c r="AA159" s="25">
        <v>-7.56</v>
      </c>
      <c r="AB159" s="25">
        <v>0</v>
      </c>
      <c r="AC159" s="25">
        <f>-T159</f>
        <v>-98.139157748633679</v>
      </c>
      <c r="AD159" s="52">
        <f t="shared" si="23"/>
        <v>-105.69915774863368</v>
      </c>
      <c r="AE159" s="51">
        <f>IF(Z159="","",IF(K159="Long",Z159-Q159,Q159-Z159))</f>
        <v>-5.2999999999991942E-4</v>
      </c>
      <c r="AF159" s="53">
        <f>IF(AE159="","",AC159*O159/T159)</f>
        <v>-0.01</v>
      </c>
      <c r="AG159" s="146">
        <f>M159+AD159</f>
        <v>9708.2166171147346</v>
      </c>
      <c r="AH159" s="2"/>
      <c r="AI159" s="2"/>
      <c r="AJ159" s="2"/>
      <c r="AK159" s="2"/>
      <c r="AL159" s="2"/>
    </row>
    <row r="160" spans="1:38">
      <c r="A160" s="34"/>
      <c r="B160" s="58" t="s">
        <v>260</v>
      </c>
      <c r="C160" s="142">
        <v>155</v>
      </c>
      <c r="D160" s="11" t="s">
        <v>94</v>
      </c>
      <c r="E160" s="12" t="s">
        <v>314</v>
      </c>
      <c r="F160" s="13" t="s">
        <v>256</v>
      </c>
      <c r="G160" s="13" t="s">
        <v>56</v>
      </c>
      <c r="H160" s="29" t="s">
        <v>79</v>
      </c>
      <c r="I160" s="14" t="s">
        <v>257</v>
      </c>
      <c r="J160" s="15" t="s">
        <v>80</v>
      </c>
      <c r="K160" s="16" t="s">
        <v>68</v>
      </c>
      <c r="L160" s="40" t="s">
        <v>67</v>
      </c>
      <c r="M160" s="17">
        <f>AG159</f>
        <v>9708.2166171147346</v>
      </c>
      <c r="N160" s="18">
        <f t="shared" si="20"/>
        <v>97.08216617114735</v>
      </c>
      <c r="O160" s="19">
        <v>0.01</v>
      </c>
      <c r="P160" s="20"/>
      <c r="Q160" s="26">
        <v>1.2796700000000001</v>
      </c>
      <c r="R160" s="28">
        <v>1.27877</v>
      </c>
      <c r="S160" s="21">
        <f>IF(R160="","",IF(K160="Long",Q160-R160,R160-Q160))</f>
        <v>9.0000000000012292E-4</v>
      </c>
      <c r="T160" s="22">
        <f t="shared" si="24"/>
        <v>97.08216617114735</v>
      </c>
      <c r="U160" s="27">
        <v>1.282</v>
      </c>
      <c r="V160" s="21">
        <f>IF(U160="","",IF(K160="Long",U160-Q160,Q160-U160))</f>
        <v>2.3299999999999432E-3</v>
      </c>
      <c r="W160" s="23">
        <f t="shared" si="21"/>
        <v>251.33494130970766</v>
      </c>
      <c r="X160" s="24">
        <f t="shared" si="22"/>
        <v>2.588888888888472</v>
      </c>
      <c r="Y160" s="12" t="s">
        <v>314</v>
      </c>
      <c r="Z160" s="28">
        <f>R160</f>
        <v>1.27877</v>
      </c>
      <c r="AA160" s="25">
        <v>-3.11</v>
      </c>
      <c r="AB160" s="25">
        <v>0</v>
      </c>
      <c r="AC160" s="25">
        <f>-T160</f>
        <v>-97.08216617114735</v>
      </c>
      <c r="AD160" s="52">
        <f t="shared" si="23"/>
        <v>-100.19216617114735</v>
      </c>
      <c r="AE160" s="51">
        <f>IF(Z160="","",IF(K160="Long",Z160-Q160,Q160-Z160))</f>
        <v>-9.0000000000012292E-4</v>
      </c>
      <c r="AF160" s="53">
        <f>IF(AE160="","",AC160*O160/T160)</f>
        <v>-0.01</v>
      </c>
      <c r="AG160" s="146">
        <f>M160+AD160</f>
        <v>9608.024450943587</v>
      </c>
      <c r="AH160" s="2"/>
      <c r="AI160" s="2"/>
      <c r="AJ160" s="2"/>
      <c r="AK160" s="2"/>
      <c r="AL160" s="2"/>
    </row>
    <row r="161" spans="1:38">
      <c r="A161" s="34"/>
      <c r="B161" s="58" t="s">
        <v>260</v>
      </c>
      <c r="C161" s="142">
        <v>156</v>
      </c>
      <c r="D161" s="11" t="s">
        <v>102</v>
      </c>
      <c r="E161" s="12" t="s">
        <v>315</v>
      </c>
      <c r="F161" s="13" t="s">
        <v>256</v>
      </c>
      <c r="G161" s="13" t="s">
        <v>56</v>
      </c>
      <c r="H161" s="29" t="s">
        <v>59</v>
      </c>
      <c r="I161" s="14" t="s">
        <v>257</v>
      </c>
      <c r="J161" s="15" t="s">
        <v>80</v>
      </c>
      <c r="K161" s="16" t="s">
        <v>47</v>
      </c>
      <c r="L161" s="40" t="s">
        <v>67</v>
      </c>
      <c r="M161" s="17">
        <f>AG160</f>
        <v>9608.024450943587</v>
      </c>
      <c r="N161" s="18">
        <f t="shared" si="20"/>
        <v>96.080244509435872</v>
      </c>
      <c r="O161" s="19">
        <v>0.01</v>
      </c>
      <c r="P161" s="20"/>
      <c r="Q161" s="26">
        <v>1.0805499999999999</v>
      </c>
      <c r="R161" s="28">
        <v>1.08108</v>
      </c>
      <c r="S161" s="21">
        <f>IF(R161="","",IF(K161="Long",Q161-R161,R161-Q161))</f>
        <v>5.3000000000014147E-4</v>
      </c>
      <c r="T161" s="22">
        <f t="shared" si="24"/>
        <v>96.080244509435872</v>
      </c>
      <c r="U161" s="27">
        <v>1.07952</v>
      </c>
      <c r="V161" s="21">
        <f>IF(U161="","",IF(K161="Long",U161-Q161,Q161-U161))</f>
        <v>1.0299999999998644E-3</v>
      </c>
      <c r="W161" s="23">
        <f t="shared" si="21"/>
        <v>186.72198461260282</v>
      </c>
      <c r="X161" s="24">
        <f t="shared" si="22"/>
        <v>1.9433962264143196</v>
      </c>
      <c r="Y161" s="12" t="s">
        <v>315</v>
      </c>
      <c r="Z161" s="28">
        <f>R161</f>
        <v>1.08108</v>
      </c>
      <c r="AA161" s="25">
        <v>-5.3</v>
      </c>
      <c r="AB161" s="25">
        <v>0</v>
      </c>
      <c r="AC161" s="25">
        <f>-T161</f>
        <v>-96.080244509435872</v>
      </c>
      <c r="AD161" s="52">
        <f t="shared" si="23"/>
        <v>-101.38024450943587</v>
      </c>
      <c r="AE161" s="51">
        <f>IF(Z161="","",IF(K161="Long",Z161-Q161,Q161-Z161))</f>
        <v>-5.3000000000014147E-4</v>
      </c>
      <c r="AF161" s="53">
        <f>IF(AE161="","",AC161*O161/T161)</f>
        <v>-0.01</v>
      </c>
      <c r="AG161" s="146">
        <f>M161+AD161</f>
        <v>9506.6442064341518</v>
      </c>
      <c r="AH161" s="2"/>
      <c r="AI161" s="2"/>
      <c r="AJ161" s="2"/>
      <c r="AK161" s="2"/>
      <c r="AL161" s="2"/>
    </row>
    <row r="162" spans="1:38">
      <c r="A162" s="34"/>
      <c r="B162" s="58" t="s">
        <v>260</v>
      </c>
      <c r="C162" s="142">
        <v>157</v>
      </c>
      <c r="D162" s="11" t="s">
        <v>102</v>
      </c>
      <c r="E162" s="12" t="s">
        <v>315</v>
      </c>
      <c r="F162" s="13" t="s">
        <v>266</v>
      </c>
      <c r="G162" s="13" t="s">
        <v>56</v>
      </c>
      <c r="H162" s="29" t="s">
        <v>59</v>
      </c>
      <c r="I162" s="14" t="s">
        <v>257</v>
      </c>
      <c r="J162" s="15" t="s">
        <v>80</v>
      </c>
      <c r="K162" s="16" t="s">
        <v>47</v>
      </c>
      <c r="L162" s="40" t="s">
        <v>67</v>
      </c>
      <c r="M162" s="17">
        <f>AG161</f>
        <v>9506.6442064341518</v>
      </c>
      <c r="N162" s="18">
        <f t="shared" si="20"/>
        <v>95.066442064341516</v>
      </c>
      <c r="O162" s="19">
        <v>0.01</v>
      </c>
      <c r="P162" s="20"/>
      <c r="Q162" s="26">
        <v>1.08205</v>
      </c>
      <c r="R162" s="28">
        <v>1.0825499999999999</v>
      </c>
      <c r="S162" s="21">
        <f>IF(R162="","",IF(K162="Long",Q162-R162,R162-Q162))</f>
        <v>4.9999999999994493E-4</v>
      </c>
      <c r="T162" s="22">
        <f t="shared" si="24"/>
        <v>95.066442064341516</v>
      </c>
      <c r="U162" s="27">
        <v>1.07952</v>
      </c>
      <c r="V162" s="21">
        <f>IF(U162="","",IF(K162="Long",U162-Q162,Q162-U162))</f>
        <v>2.5299999999999212E-3</v>
      </c>
      <c r="W162" s="23">
        <f t="shared" si="21"/>
        <v>481.03619684560601</v>
      </c>
      <c r="X162" s="24">
        <f t="shared" si="22"/>
        <v>5.0600000000003993</v>
      </c>
      <c r="Y162" s="12" t="s">
        <v>315</v>
      </c>
      <c r="Z162" s="28">
        <f>R162</f>
        <v>1.0825499999999999</v>
      </c>
      <c r="AA162" s="25">
        <v>-5.94</v>
      </c>
      <c r="AB162" s="25">
        <v>0</v>
      </c>
      <c r="AC162" s="25">
        <f>-T162</f>
        <v>-95.066442064341516</v>
      </c>
      <c r="AD162" s="52">
        <f t="shared" si="23"/>
        <v>-101.00644206434151</v>
      </c>
      <c r="AE162" s="51">
        <f>IF(Z162="","",IF(K162="Long",Z162-Q162,Q162-Z162))</f>
        <v>-4.9999999999994493E-4</v>
      </c>
      <c r="AF162" s="53">
        <f>IF(AE162="","",AC162*O162/T162)</f>
        <v>-0.01</v>
      </c>
      <c r="AG162" s="146">
        <f>M162+AD162</f>
        <v>9405.6377643698106</v>
      </c>
      <c r="AH162" s="2"/>
      <c r="AI162" s="2"/>
      <c r="AJ162" s="2"/>
      <c r="AK162" s="2"/>
      <c r="AL162" s="2"/>
    </row>
    <row r="163" spans="1:38">
      <c r="A163" s="34"/>
      <c r="B163" s="58" t="s">
        <v>260</v>
      </c>
      <c r="C163" s="54">
        <v>158</v>
      </c>
      <c r="D163" s="11" t="s">
        <v>48</v>
      </c>
      <c r="E163" s="12" t="s">
        <v>316</v>
      </c>
      <c r="F163" s="13" t="s">
        <v>266</v>
      </c>
      <c r="G163" s="13" t="s">
        <v>250</v>
      </c>
      <c r="H163" s="29" t="s">
        <v>249</v>
      </c>
      <c r="I163" s="14" t="s">
        <v>257</v>
      </c>
      <c r="J163" s="15" t="s">
        <v>80</v>
      </c>
      <c r="K163" s="16" t="s">
        <v>68</v>
      </c>
      <c r="L163" s="148"/>
      <c r="M163" s="17">
        <f>AG162</f>
        <v>9405.6377643698106</v>
      </c>
      <c r="N163" s="18">
        <f t="shared" si="20"/>
        <v>94.056377643698113</v>
      </c>
      <c r="O163" s="19">
        <v>0.01</v>
      </c>
      <c r="P163" s="20"/>
      <c r="Q163" s="26">
        <v>17393.849999999999</v>
      </c>
      <c r="R163" s="28">
        <v>17307.93</v>
      </c>
      <c r="S163" s="21">
        <f>IF(R163="","",IF(K163="Long",Q163-R163,R163-Q163))</f>
        <v>85.919999999998254</v>
      </c>
      <c r="T163" s="22">
        <f t="shared" si="24"/>
        <v>94.056377643698113</v>
      </c>
      <c r="U163" s="27">
        <v>17714.900000000001</v>
      </c>
      <c r="V163" s="21">
        <f>IF(U163="","",IF(K163="Long",U163-Q163,Q163-U163))</f>
        <v>321.05000000000291</v>
      </c>
      <c r="W163" s="23">
        <f t="shared" si="21"/>
        <v>351.45251446124496</v>
      </c>
      <c r="X163" s="24">
        <f t="shared" si="22"/>
        <v>3.736615456238471</v>
      </c>
      <c r="Y163" s="12" t="s">
        <v>316</v>
      </c>
      <c r="Z163" s="28">
        <v>17358.45</v>
      </c>
      <c r="AA163" s="25">
        <v>0</v>
      </c>
      <c r="AB163" s="25">
        <v>0</v>
      </c>
      <c r="AC163" s="25">
        <v>-30</v>
      </c>
      <c r="AD163" s="52">
        <f t="shared" si="23"/>
        <v>-30</v>
      </c>
      <c r="AE163" s="51">
        <f>IF(Z163="","",IF(K163="Long",Z163-Q163,Q163-Z163))</f>
        <v>-35.399999999997817</v>
      </c>
      <c r="AF163" s="53">
        <f>IF(AE163="","",AC163*O163/T163)</f>
        <v>-3.1895763744639633E-3</v>
      </c>
      <c r="AG163" s="146">
        <f>M163+AD163</f>
        <v>9375.6377643698106</v>
      </c>
      <c r="AH163" s="2"/>
      <c r="AI163" s="2"/>
      <c r="AJ163" s="2"/>
      <c r="AK163" s="2"/>
      <c r="AL163" s="2"/>
    </row>
    <row r="164" spans="1:38" ht="12">
      <c r="A164" s="34"/>
      <c r="B164" s="59"/>
      <c r="C164" s="55"/>
      <c r="D164" s="11"/>
      <c r="E164" s="12"/>
      <c r="F164" s="13"/>
      <c r="G164" s="13"/>
      <c r="H164" s="29"/>
      <c r="I164" s="14"/>
      <c r="J164" s="15"/>
      <c r="K164" s="16"/>
      <c r="L164" s="40"/>
      <c r="M164" s="17"/>
      <c r="N164" s="18" t="str">
        <f t="shared" ref="N164:N197" si="25">IF(M164="","",O164*M164/100%)</f>
        <v/>
      </c>
      <c r="O164" s="19"/>
      <c r="P164" s="20"/>
      <c r="Q164" s="26"/>
      <c r="R164" s="28"/>
      <c r="S164" s="21" t="str">
        <f>IF(R164="","",IF(K164="Long",Q164-R164,R164-Q164))</f>
        <v/>
      </c>
      <c r="T164" s="22" t="str">
        <f t="shared" ref="T164:T205" si="26">IF(S164="","",N164)</f>
        <v/>
      </c>
      <c r="U164" s="27"/>
      <c r="V164" s="21" t="str">
        <f>IF(U164="","",IF(K164="Long",U164-Q164,Q164-U164))</f>
        <v/>
      </c>
      <c r="W164" s="23" t="str">
        <f t="shared" ref="W164:W204" si="27">IF(X164="","",X164*T164/1)</f>
        <v/>
      </c>
      <c r="X164" s="24" t="str">
        <f t="shared" ref="X164:X204" si="28">IF(V164="","",V164*1/S164)</f>
        <v/>
      </c>
      <c r="Y164" s="12"/>
      <c r="Z164" s="28"/>
      <c r="AA164" s="25"/>
      <c r="AB164" s="25"/>
      <c r="AC164" s="25"/>
      <c r="AD164" s="52" t="str">
        <f t="shared" ref="AD164:AD198" si="29">IF(AC164="","",AC164+AB164+AA164)</f>
        <v/>
      </c>
      <c r="AE164" s="51" t="str">
        <f>IF(Z164="","",IF(K164="Long",Z164-Q164,Q164-Z164))</f>
        <v/>
      </c>
      <c r="AF164" s="53" t="str">
        <f>IF(AE164="","",AC164*O164/T164)</f>
        <v/>
      </c>
      <c r="AG164" s="44"/>
      <c r="AH164" s="2"/>
      <c r="AI164" s="2"/>
      <c r="AJ164" s="2"/>
      <c r="AK164" s="2"/>
      <c r="AL164" s="2"/>
    </row>
    <row r="165" spans="1:38" ht="12">
      <c r="A165" s="34"/>
      <c r="B165" s="59"/>
      <c r="C165" s="55"/>
      <c r="D165" s="11"/>
      <c r="E165" s="12"/>
      <c r="F165" s="13"/>
      <c r="G165" s="13"/>
      <c r="H165" s="29"/>
      <c r="I165" s="14"/>
      <c r="J165" s="15"/>
      <c r="K165" s="16"/>
      <c r="L165" s="40"/>
      <c r="M165" s="17"/>
      <c r="N165" s="18" t="str">
        <f t="shared" si="25"/>
        <v/>
      </c>
      <c r="O165" s="19"/>
      <c r="P165" s="20"/>
      <c r="Q165" s="26"/>
      <c r="R165" s="28"/>
      <c r="S165" s="21" t="str">
        <f>IF(R165="","",IF(K165="Long",Q165-R165,R165-Q165))</f>
        <v/>
      </c>
      <c r="T165" s="22" t="str">
        <f t="shared" si="26"/>
        <v/>
      </c>
      <c r="U165" s="27"/>
      <c r="V165" s="21" t="str">
        <f>IF(U165="","",IF(K165="Long",U165-Q165,Q165-U165))</f>
        <v/>
      </c>
      <c r="W165" s="23" t="str">
        <f t="shared" si="27"/>
        <v/>
      </c>
      <c r="X165" s="24" t="str">
        <f t="shared" si="28"/>
        <v/>
      </c>
      <c r="Y165" s="12"/>
      <c r="Z165" s="28"/>
      <c r="AA165" s="25"/>
      <c r="AB165" s="25"/>
      <c r="AC165" s="25"/>
      <c r="AD165" s="52" t="str">
        <f t="shared" si="29"/>
        <v/>
      </c>
      <c r="AE165" s="51" t="str">
        <f>IF(Z165="","",IF(K165="Long",Z165-Q165,Q165-Z165))</f>
        <v/>
      </c>
      <c r="AF165" s="53" t="str">
        <f>IF(AE165="","",AC165*O165/T165)</f>
        <v/>
      </c>
      <c r="AG165" s="44"/>
      <c r="AH165" s="2"/>
      <c r="AI165" s="2"/>
      <c r="AJ165" s="2"/>
      <c r="AK165" s="2"/>
      <c r="AL165" s="2"/>
    </row>
    <row r="166" spans="1:38" ht="12">
      <c r="A166" s="34"/>
      <c r="B166" s="59"/>
      <c r="C166" s="55"/>
      <c r="D166" s="11"/>
      <c r="E166" s="12"/>
      <c r="F166" s="13"/>
      <c r="G166" s="13"/>
      <c r="H166" s="29"/>
      <c r="I166" s="14"/>
      <c r="J166" s="15"/>
      <c r="K166" s="16"/>
      <c r="L166" s="40"/>
      <c r="M166" s="17"/>
      <c r="N166" s="18" t="str">
        <f t="shared" si="25"/>
        <v/>
      </c>
      <c r="O166" s="19"/>
      <c r="P166" s="20"/>
      <c r="Q166" s="26"/>
      <c r="R166" s="28"/>
      <c r="S166" s="21" t="str">
        <f>IF(R166="","",IF(K166="Long",Q166-R166,R166-Q166))</f>
        <v/>
      </c>
      <c r="T166" s="22" t="str">
        <f t="shared" si="26"/>
        <v/>
      </c>
      <c r="U166" s="27"/>
      <c r="V166" s="21" t="str">
        <f>IF(U166="","",IF(K166="Long",U166-Q166,Q166-U166))</f>
        <v/>
      </c>
      <c r="W166" s="23" t="str">
        <f t="shared" si="27"/>
        <v/>
      </c>
      <c r="X166" s="24" t="str">
        <f t="shared" si="28"/>
        <v/>
      </c>
      <c r="Y166" s="12"/>
      <c r="Z166" s="28"/>
      <c r="AA166" s="25"/>
      <c r="AB166" s="25"/>
      <c r="AC166" s="25"/>
      <c r="AD166" s="52" t="str">
        <f t="shared" si="29"/>
        <v/>
      </c>
      <c r="AE166" s="51" t="str">
        <f>IF(Z166="","",IF(K166="Long",Z166-Q166,Q166-Z166))</f>
        <v/>
      </c>
      <c r="AF166" s="53" t="str">
        <f>IF(AE166="","",AC166*O166/T166)</f>
        <v/>
      </c>
      <c r="AG166" s="44"/>
      <c r="AH166" s="2"/>
      <c r="AI166" s="2"/>
      <c r="AJ166" s="2"/>
      <c r="AK166" s="2"/>
      <c r="AL166" s="2"/>
    </row>
    <row r="167" spans="1:38" ht="12">
      <c r="A167" s="34"/>
      <c r="B167" s="59"/>
      <c r="C167" s="55"/>
      <c r="D167" s="11"/>
      <c r="E167" s="12"/>
      <c r="F167" s="13"/>
      <c r="G167" s="13"/>
      <c r="H167" s="29"/>
      <c r="I167" s="14"/>
      <c r="J167" s="15"/>
      <c r="K167" s="16"/>
      <c r="L167" s="40"/>
      <c r="M167" s="17"/>
      <c r="N167" s="18" t="str">
        <f t="shared" si="25"/>
        <v/>
      </c>
      <c r="O167" s="19"/>
      <c r="P167" s="20"/>
      <c r="Q167" s="26"/>
      <c r="R167" s="28"/>
      <c r="S167" s="21" t="str">
        <f>IF(R167="","",IF(K167="Long",Q167-R167,R167-Q167))</f>
        <v/>
      </c>
      <c r="T167" s="22" t="str">
        <f t="shared" si="26"/>
        <v/>
      </c>
      <c r="U167" s="27"/>
      <c r="V167" s="21" t="str">
        <f>IF(U167="","",IF(K167="Long",U167-Q167,Q167-U167))</f>
        <v/>
      </c>
      <c r="W167" s="23" t="str">
        <f t="shared" si="27"/>
        <v/>
      </c>
      <c r="X167" s="24" t="str">
        <f t="shared" si="28"/>
        <v/>
      </c>
      <c r="Y167" s="12"/>
      <c r="Z167" s="28"/>
      <c r="AA167" s="25"/>
      <c r="AB167" s="25"/>
      <c r="AC167" s="25"/>
      <c r="AD167" s="52" t="str">
        <f t="shared" si="29"/>
        <v/>
      </c>
      <c r="AE167" s="51" t="str">
        <f>IF(Z167="","",IF(K167="Long",Z167-Q167,Q167-Z167))</f>
        <v/>
      </c>
      <c r="AF167" s="53" t="str">
        <f>IF(AE167="","",AC167*O167/T167)</f>
        <v/>
      </c>
      <c r="AG167" s="44"/>
      <c r="AH167" s="2"/>
      <c r="AI167" s="2"/>
      <c r="AJ167" s="2"/>
      <c r="AK167" s="2"/>
      <c r="AL167" s="2"/>
    </row>
    <row r="168" spans="1:38" ht="12">
      <c r="A168" s="34"/>
      <c r="B168" s="59"/>
      <c r="C168" s="55"/>
      <c r="D168" s="11"/>
      <c r="E168" s="12"/>
      <c r="F168" s="13"/>
      <c r="G168" s="13"/>
      <c r="H168" s="29"/>
      <c r="I168" s="14"/>
      <c r="J168" s="15"/>
      <c r="K168" s="16"/>
      <c r="L168" s="40"/>
      <c r="M168" s="17"/>
      <c r="N168" s="18" t="str">
        <f t="shared" si="25"/>
        <v/>
      </c>
      <c r="O168" s="19"/>
      <c r="P168" s="20"/>
      <c r="Q168" s="26"/>
      <c r="R168" s="28"/>
      <c r="S168" s="21" t="str">
        <f>IF(R168="","",IF(K168="Long",Q168-R168,R168-Q168))</f>
        <v/>
      </c>
      <c r="T168" s="22" t="str">
        <f t="shared" si="26"/>
        <v/>
      </c>
      <c r="U168" s="27"/>
      <c r="V168" s="21" t="str">
        <f>IF(U168="","",IF(K168="Long",U168-Q168,Q168-U168))</f>
        <v/>
      </c>
      <c r="W168" s="23" t="str">
        <f t="shared" si="27"/>
        <v/>
      </c>
      <c r="X168" s="24" t="str">
        <f t="shared" si="28"/>
        <v/>
      </c>
      <c r="Y168" s="12"/>
      <c r="Z168" s="28"/>
      <c r="AA168" s="25"/>
      <c r="AB168" s="25"/>
      <c r="AC168" s="25"/>
      <c r="AD168" s="52" t="str">
        <f t="shared" si="29"/>
        <v/>
      </c>
      <c r="AE168" s="51" t="str">
        <f>IF(Z168="","",IF(K168="Long",Z168-Q168,Q168-Z168))</f>
        <v/>
      </c>
      <c r="AF168" s="53" t="str">
        <f>IF(AE168="","",AC168*O168/T168)</f>
        <v/>
      </c>
      <c r="AG168" s="44"/>
      <c r="AH168" s="2"/>
      <c r="AI168" s="2"/>
      <c r="AJ168" s="2"/>
      <c r="AK168" s="2"/>
      <c r="AL168" s="2"/>
    </row>
    <row r="169" spans="1:38" ht="12">
      <c r="A169" s="34"/>
      <c r="B169" s="59"/>
      <c r="C169" s="55"/>
      <c r="D169" s="11"/>
      <c r="E169" s="12"/>
      <c r="F169" s="13"/>
      <c r="G169" s="13"/>
      <c r="H169" s="29"/>
      <c r="I169" s="14"/>
      <c r="J169" s="15"/>
      <c r="K169" s="16"/>
      <c r="L169" s="40"/>
      <c r="M169" s="17"/>
      <c r="N169" s="18" t="str">
        <f t="shared" si="25"/>
        <v/>
      </c>
      <c r="O169" s="19"/>
      <c r="P169" s="20"/>
      <c r="Q169" s="26"/>
      <c r="R169" s="28"/>
      <c r="S169" s="21" t="str">
        <f>IF(R169="","",IF(K169="Long",Q169-R169,R169-Q169))</f>
        <v/>
      </c>
      <c r="T169" s="22" t="str">
        <f t="shared" si="26"/>
        <v/>
      </c>
      <c r="U169" s="27"/>
      <c r="V169" s="21" t="str">
        <f>IF(U169="","",IF(K169="Long",U169-Q169,Q169-U169))</f>
        <v/>
      </c>
      <c r="W169" s="23" t="str">
        <f t="shared" si="27"/>
        <v/>
      </c>
      <c r="X169" s="24" t="str">
        <f t="shared" si="28"/>
        <v/>
      </c>
      <c r="Y169" s="12"/>
      <c r="Z169" s="28"/>
      <c r="AA169" s="25"/>
      <c r="AB169" s="25"/>
      <c r="AC169" s="25"/>
      <c r="AD169" s="52" t="str">
        <f t="shared" si="29"/>
        <v/>
      </c>
      <c r="AE169" s="51" t="str">
        <f>IF(Z169="","",IF(K169="Long",Z169-Q169,Q169-Z169))</f>
        <v/>
      </c>
      <c r="AF169" s="53" t="str">
        <f>IF(AE169="","",AC169*O169/T169)</f>
        <v/>
      </c>
      <c r="AG169" s="44"/>
      <c r="AH169" s="2"/>
      <c r="AI169" s="2"/>
      <c r="AJ169" s="2"/>
      <c r="AK169" s="2"/>
      <c r="AL169" s="2"/>
    </row>
    <row r="170" spans="1:38" ht="12">
      <c r="A170" s="34"/>
      <c r="B170" s="59"/>
      <c r="C170" s="55"/>
      <c r="D170" s="11"/>
      <c r="E170" s="12"/>
      <c r="F170" s="13"/>
      <c r="G170" s="13"/>
      <c r="H170" s="29"/>
      <c r="I170" s="14"/>
      <c r="J170" s="15"/>
      <c r="K170" s="16"/>
      <c r="L170" s="40"/>
      <c r="M170" s="17"/>
      <c r="N170" s="18" t="str">
        <f t="shared" si="25"/>
        <v/>
      </c>
      <c r="O170" s="19"/>
      <c r="P170" s="20"/>
      <c r="Q170" s="26"/>
      <c r="R170" s="28"/>
      <c r="S170" s="21" t="str">
        <f>IF(R170="","",IF(K170="Long",Q170-R170,R170-Q170))</f>
        <v/>
      </c>
      <c r="T170" s="22" t="str">
        <f t="shared" si="26"/>
        <v/>
      </c>
      <c r="U170" s="27"/>
      <c r="V170" s="21" t="str">
        <f>IF(U170="","",IF(K170="Long",U170-Q170,Q170-U170))</f>
        <v/>
      </c>
      <c r="W170" s="23" t="str">
        <f t="shared" si="27"/>
        <v/>
      </c>
      <c r="X170" s="24" t="str">
        <f t="shared" si="28"/>
        <v/>
      </c>
      <c r="Y170" s="12"/>
      <c r="Z170" s="28"/>
      <c r="AA170" s="25"/>
      <c r="AB170" s="25"/>
      <c r="AC170" s="25"/>
      <c r="AD170" s="52" t="str">
        <f t="shared" si="29"/>
        <v/>
      </c>
      <c r="AE170" s="51" t="str">
        <f>IF(Z170="","",IF(K170="Long",Z170-Q170,Q170-Z170))</f>
        <v/>
      </c>
      <c r="AF170" s="53" t="str">
        <f>IF(AE170="","",AC170*O170/T170)</f>
        <v/>
      </c>
      <c r="AG170" s="44"/>
      <c r="AH170" s="2"/>
      <c r="AI170" s="2"/>
      <c r="AJ170" s="2"/>
      <c r="AK170" s="2"/>
      <c r="AL170" s="2"/>
    </row>
    <row r="171" spans="1:38" ht="12">
      <c r="A171" s="34"/>
      <c r="B171" s="59"/>
      <c r="C171" s="55"/>
      <c r="D171" s="11"/>
      <c r="E171" s="12"/>
      <c r="F171" s="13"/>
      <c r="G171" s="13"/>
      <c r="H171" s="29"/>
      <c r="I171" s="14"/>
      <c r="J171" s="15"/>
      <c r="K171" s="16"/>
      <c r="L171" s="40"/>
      <c r="M171" s="17"/>
      <c r="N171" s="18" t="str">
        <f t="shared" si="25"/>
        <v/>
      </c>
      <c r="O171" s="19"/>
      <c r="P171" s="20"/>
      <c r="Q171" s="26"/>
      <c r="R171" s="28"/>
      <c r="S171" s="21" t="str">
        <f>IF(R171="","",IF(K171="Long",Q171-R171,R171-Q171))</f>
        <v/>
      </c>
      <c r="T171" s="22" t="str">
        <f t="shared" si="26"/>
        <v/>
      </c>
      <c r="U171" s="27"/>
      <c r="V171" s="21" t="str">
        <f>IF(U171="","",IF(K171="Long",U171-Q171,Q171-U171))</f>
        <v/>
      </c>
      <c r="W171" s="23" t="str">
        <f t="shared" si="27"/>
        <v/>
      </c>
      <c r="X171" s="24" t="str">
        <f t="shared" si="28"/>
        <v/>
      </c>
      <c r="Y171" s="12"/>
      <c r="Z171" s="28"/>
      <c r="AA171" s="25"/>
      <c r="AB171" s="25"/>
      <c r="AC171" s="25"/>
      <c r="AD171" s="52" t="str">
        <f t="shared" si="29"/>
        <v/>
      </c>
      <c r="AE171" s="51" t="str">
        <f>IF(Z171="","",IF(K171="Long",Z171-Q171,Q171-Z171))</f>
        <v/>
      </c>
      <c r="AF171" s="53" t="str">
        <f>IF(AE171="","",AC171*O171/T171)</f>
        <v/>
      </c>
      <c r="AG171" s="44"/>
      <c r="AH171" s="2"/>
      <c r="AI171" s="2"/>
      <c r="AJ171" s="2"/>
      <c r="AK171" s="2"/>
      <c r="AL171" s="2"/>
    </row>
    <row r="172" spans="1:38" ht="12">
      <c r="A172" s="34"/>
      <c r="B172" s="59"/>
      <c r="C172" s="55"/>
      <c r="D172" s="11"/>
      <c r="E172" s="12"/>
      <c r="F172" s="13"/>
      <c r="G172" s="13"/>
      <c r="H172" s="29"/>
      <c r="I172" s="14"/>
      <c r="J172" s="15"/>
      <c r="K172" s="16"/>
      <c r="L172" s="40"/>
      <c r="M172" s="17"/>
      <c r="N172" s="18" t="str">
        <f t="shared" si="25"/>
        <v/>
      </c>
      <c r="O172" s="19"/>
      <c r="P172" s="20"/>
      <c r="Q172" s="26"/>
      <c r="R172" s="28"/>
      <c r="S172" s="21" t="str">
        <f>IF(R172="","",IF(K172="Long",Q172-R172,R172-Q172))</f>
        <v/>
      </c>
      <c r="T172" s="22" t="str">
        <f t="shared" si="26"/>
        <v/>
      </c>
      <c r="U172" s="27"/>
      <c r="V172" s="21" t="str">
        <f>IF(U172="","",IF(K172="Long",U172-Q172,Q172-U172))</f>
        <v/>
      </c>
      <c r="W172" s="23" t="str">
        <f t="shared" si="27"/>
        <v/>
      </c>
      <c r="X172" s="24" t="str">
        <f t="shared" si="28"/>
        <v/>
      </c>
      <c r="Y172" s="12"/>
      <c r="Z172" s="28"/>
      <c r="AA172" s="25"/>
      <c r="AB172" s="25"/>
      <c r="AC172" s="25"/>
      <c r="AD172" s="52" t="str">
        <f t="shared" si="29"/>
        <v/>
      </c>
      <c r="AE172" s="51" t="str">
        <f>IF(Z172="","",IF(K172="Long",Z172-Q172,Q172-Z172))</f>
        <v/>
      </c>
      <c r="AF172" s="53" t="str">
        <f>IF(AE172="","",AC172*O172/T172)</f>
        <v/>
      </c>
      <c r="AG172" s="44"/>
      <c r="AH172" s="2"/>
      <c r="AI172" s="2"/>
      <c r="AJ172" s="2"/>
      <c r="AK172" s="2"/>
      <c r="AL172" s="2"/>
    </row>
    <row r="173" spans="1:38" ht="12">
      <c r="A173" s="34"/>
      <c r="B173" s="59"/>
      <c r="C173" s="55"/>
      <c r="D173" s="11"/>
      <c r="E173" s="12"/>
      <c r="F173" s="13"/>
      <c r="G173" s="13"/>
      <c r="H173" s="29"/>
      <c r="I173" s="14"/>
      <c r="J173" s="15"/>
      <c r="K173" s="16"/>
      <c r="L173" s="40"/>
      <c r="M173" s="17"/>
      <c r="N173" s="18" t="str">
        <f t="shared" si="25"/>
        <v/>
      </c>
      <c r="O173" s="19"/>
      <c r="P173" s="20"/>
      <c r="Q173" s="26"/>
      <c r="R173" s="28"/>
      <c r="S173" s="21" t="str">
        <f>IF(R173="","",IF(K173="Long",Q173-R173,R173-Q173))</f>
        <v/>
      </c>
      <c r="T173" s="22" t="str">
        <f t="shared" si="26"/>
        <v/>
      </c>
      <c r="U173" s="27"/>
      <c r="V173" s="21" t="str">
        <f>IF(U173="","",IF(K173="Long",U173-Q173,Q173-U173))</f>
        <v/>
      </c>
      <c r="W173" s="23" t="str">
        <f t="shared" si="27"/>
        <v/>
      </c>
      <c r="X173" s="24" t="str">
        <f t="shared" si="28"/>
        <v/>
      </c>
      <c r="Y173" s="12"/>
      <c r="Z173" s="28"/>
      <c r="AA173" s="25"/>
      <c r="AB173" s="25"/>
      <c r="AC173" s="25"/>
      <c r="AD173" s="52" t="str">
        <f t="shared" si="29"/>
        <v/>
      </c>
      <c r="AE173" s="51" t="str">
        <f>IF(Z173="","",IF(K173="Long",Z173-Q173,Q173-Z173))</f>
        <v/>
      </c>
      <c r="AF173" s="53" t="str">
        <f>IF(AE173="","",AC173*O173/T173)</f>
        <v/>
      </c>
      <c r="AG173" s="44"/>
      <c r="AH173" s="2"/>
      <c r="AI173" s="2"/>
      <c r="AJ173" s="2"/>
      <c r="AK173" s="2"/>
      <c r="AL173" s="2"/>
    </row>
    <row r="174" spans="1:38" ht="12">
      <c r="A174" s="34"/>
      <c r="B174" s="59"/>
      <c r="C174" s="55"/>
      <c r="D174" s="11"/>
      <c r="E174" s="12"/>
      <c r="F174" s="13"/>
      <c r="G174" s="13"/>
      <c r="H174" s="29"/>
      <c r="I174" s="14"/>
      <c r="J174" s="15"/>
      <c r="K174" s="16"/>
      <c r="L174" s="40"/>
      <c r="M174" s="17"/>
      <c r="N174" s="18" t="str">
        <f t="shared" si="25"/>
        <v/>
      </c>
      <c r="O174" s="19"/>
      <c r="P174" s="20"/>
      <c r="Q174" s="26"/>
      <c r="R174" s="28"/>
      <c r="S174" s="21" t="str">
        <f>IF(R174="","",IF(K174="Long",Q174-R174,R174-Q174))</f>
        <v/>
      </c>
      <c r="T174" s="22" t="str">
        <f t="shared" si="26"/>
        <v/>
      </c>
      <c r="U174" s="27"/>
      <c r="V174" s="21" t="str">
        <f>IF(U174="","",IF(K174="Long",U174-Q174,Q174-U174))</f>
        <v/>
      </c>
      <c r="W174" s="23" t="str">
        <f t="shared" si="27"/>
        <v/>
      </c>
      <c r="X174" s="24" t="str">
        <f t="shared" si="28"/>
        <v/>
      </c>
      <c r="Y174" s="12"/>
      <c r="Z174" s="28"/>
      <c r="AA174" s="25"/>
      <c r="AB174" s="25"/>
      <c r="AC174" s="25"/>
      <c r="AD174" s="52" t="str">
        <f t="shared" si="29"/>
        <v/>
      </c>
      <c r="AE174" s="51" t="str">
        <f>IF(Z174="","",IF(K174="Long",Z174-Q174,Q174-Z174))</f>
        <v/>
      </c>
      <c r="AF174" s="53" t="str">
        <f>IF(AE174="","",AC174*O174/T174)</f>
        <v/>
      </c>
      <c r="AG174" s="44"/>
      <c r="AH174" s="2"/>
      <c r="AI174" s="2"/>
      <c r="AJ174" s="2"/>
      <c r="AK174" s="2"/>
      <c r="AL174" s="2"/>
    </row>
    <row r="175" spans="1:38" ht="12">
      <c r="A175" s="34"/>
      <c r="B175" s="59"/>
      <c r="C175" s="55"/>
      <c r="D175" s="11"/>
      <c r="E175" s="12"/>
      <c r="F175" s="13"/>
      <c r="G175" s="13"/>
      <c r="H175" s="29"/>
      <c r="I175" s="14"/>
      <c r="J175" s="15"/>
      <c r="K175" s="16"/>
      <c r="L175" s="40"/>
      <c r="M175" s="17"/>
      <c r="N175" s="18" t="str">
        <f t="shared" si="25"/>
        <v/>
      </c>
      <c r="O175" s="19"/>
      <c r="P175" s="20"/>
      <c r="Q175" s="26"/>
      <c r="R175" s="28"/>
      <c r="S175" s="21" t="str">
        <f>IF(R175="","",IF(K175="Long",Q175-R175,R175-Q175))</f>
        <v/>
      </c>
      <c r="T175" s="22" t="str">
        <f t="shared" si="26"/>
        <v/>
      </c>
      <c r="U175" s="27"/>
      <c r="V175" s="21" t="str">
        <f>IF(U175="","",IF(K175="Long",U175-Q175,Q175-U175))</f>
        <v/>
      </c>
      <c r="W175" s="23" t="str">
        <f t="shared" si="27"/>
        <v/>
      </c>
      <c r="X175" s="24" t="str">
        <f t="shared" si="28"/>
        <v/>
      </c>
      <c r="Y175" s="12"/>
      <c r="Z175" s="28"/>
      <c r="AA175" s="25"/>
      <c r="AB175" s="25"/>
      <c r="AC175" s="25"/>
      <c r="AD175" s="52" t="str">
        <f t="shared" si="29"/>
        <v/>
      </c>
      <c r="AE175" s="51" t="str">
        <f>IF(Z175="","",IF(K175="Long",Z175-Q175,Q175-Z175))</f>
        <v/>
      </c>
      <c r="AF175" s="53" t="str">
        <f>IF(AE175="","",AC175*O175/T175)</f>
        <v/>
      </c>
      <c r="AG175" s="44"/>
      <c r="AH175" s="2"/>
      <c r="AI175" s="2"/>
      <c r="AJ175" s="2"/>
      <c r="AK175" s="2"/>
      <c r="AL175" s="2"/>
    </row>
    <row r="176" spans="1:38" ht="12">
      <c r="A176" s="34"/>
      <c r="B176" s="59"/>
      <c r="C176" s="55"/>
      <c r="D176" s="11"/>
      <c r="E176" s="12"/>
      <c r="F176" s="13"/>
      <c r="G176" s="13"/>
      <c r="H176" s="29"/>
      <c r="I176" s="14"/>
      <c r="J176" s="15"/>
      <c r="K176" s="16"/>
      <c r="L176" s="40"/>
      <c r="M176" s="17"/>
      <c r="N176" s="18" t="str">
        <f t="shared" si="25"/>
        <v/>
      </c>
      <c r="O176" s="19"/>
      <c r="P176" s="20"/>
      <c r="Q176" s="26"/>
      <c r="R176" s="28"/>
      <c r="S176" s="21" t="str">
        <f>IF(R176="","",IF(K176="Long",Q176-R176,R176-Q176))</f>
        <v/>
      </c>
      <c r="T176" s="22" t="str">
        <f t="shared" si="26"/>
        <v/>
      </c>
      <c r="U176" s="27"/>
      <c r="V176" s="21" t="str">
        <f>IF(U176="","",IF(K176="Long",U176-Q176,Q176-U176))</f>
        <v/>
      </c>
      <c r="W176" s="23" t="str">
        <f t="shared" si="27"/>
        <v/>
      </c>
      <c r="X176" s="24" t="str">
        <f t="shared" si="28"/>
        <v/>
      </c>
      <c r="Y176" s="12"/>
      <c r="Z176" s="28"/>
      <c r="AA176" s="25"/>
      <c r="AB176" s="25"/>
      <c r="AC176" s="25"/>
      <c r="AD176" s="52" t="str">
        <f t="shared" si="29"/>
        <v/>
      </c>
      <c r="AE176" s="51" t="str">
        <f>IF(Z176="","",IF(K176="Long",Z176-Q176,Q176-Z176))</f>
        <v/>
      </c>
      <c r="AF176" s="53" t="str">
        <f>IF(AE176="","",AC176*O176/T176)</f>
        <v/>
      </c>
      <c r="AG176" s="44"/>
      <c r="AH176" s="2"/>
      <c r="AI176" s="2"/>
      <c r="AJ176" s="2"/>
      <c r="AK176" s="2"/>
      <c r="AL176" s="2"/>
    </row>
    <row r="177" spans="1:38" ht="12">
      <c r="A177" s="34"/>
      <c r="B177" s="59"/>
      <c r="C177" s="55"/>
      <c r="D177" s="11"/>
      <c r="E177" s="12"/>
      <c r="F177" s="13"/>
      <c r="G177" s="13"/>
      <c r="H177" s="29"/>
      <c r="I177" s="14"/>
      <c r="J177" s="15"/>
      <c r="K177" s="16"/>
      <c r="L177" s="40"/>
      <c r="M177" s="17"/>
      <c r="N177" s="18" t="str">
        <f t="shared" si="25"/>
        <v/>
      </c>
      <c r="O177" s="19"/>
      <c r="P177" s="20"/>
      <c r="Q177" s="26"/>
      <c r="R177" s="28"/>
      <c r="S177" s="21" t="str">
        <f>IF(R177="","",IF(K177="Long",Q177-R177,R177-Q177))</f>
        <v/>
      </c>
      <c r="T177" s="22" t="str">
        <f t="shared" si="26"/>
        <v/>
      </c>
      <c r="U177" s="27"/>
      <c r="V177" s="21" t="str">
        <f>IF(U177="","",IF(K177="Long",U177-Q177,Q177-U177))</f>
        <v/>
      </c>
      <c r="W177" s="23" t="str">
        <f t="shared" si="27"/>
        <v/>
      </c>
      <c r="X177" s="24" t="str">
        <f t="shared" si="28"/>
        <v/>
      </c>
      <c r="Y177" s="12"/>
      <c r="Z177" s="28"/>
      <c r="AA177" s="25"/>
      <c r="AB177" s="25"/>
      <c r="AC177" s="25"/>
      <c r="AD177" s="52" t="str">
        <f t="shared" si="29"/>
        <v/>
      </c>
      <c r="AE177" s="51" t="str">
        <f>IF(Z177="","",IF(K177="Long",Z177-Q177,Q177-Z177))</f>
        <v/>
      </c>
      <c r="AF177" s="53" t="str">
        <f>IF(AE177="","",AC177*O177/T177)</f>
        <v/>
      </c>
      <c r="AG177" s="44"/>
      <c r="AH177" s="2"/>
      <c r="AI177" s="2"/>
      <c r="AJ177" s="2"/>
      <c r="AK177" s="2"/>
      <c r="AL177" s="2"/>
    </row>
    <row r="178" spans="1:38" ht="12">
      <c r="A178" s="34"/>
      <c r="B178" s="59"/>
      <c r="C178" s="55"/>
      <c r="D178" s="11"/>
      <c r="E178" s="12"/>
      <c r="F178" s="13"/>
      <c r="G178" s="13"/>
      <c r="H178" s="29"/>
      <c r="I178" s="14"/>
      <c r="J178" s="15"/>
      <c r="K178" s="16"/>
      <c r="L178" s="40"/>
      <c r="M178" s="17"/>
      <c r="N178" s="18" t="str">
        <f t="shared" si="25"/>
        <v/>
      </c>
      <c r="O178" s="19"/>
      <c r="P178" s="20"/>
      <c r="Q178" s="26"/>
      <c r="R178" s="28"/>
      <c r="S178" s="21" t="str">
        <f>IF(R178="","",IF(K178="Long",Q178-R178,R178-Q178))</f>
        <v/>
      </c>
      <c r="T178" s="22" t="str">
        <f t="shared" si="26"/>
        <v/>
      </c>
      <c r="U178" s="27"/>
      <c r="V178" s="21" t="str">
        <f>IF(U178="","",IF(K178="Long",U178-Q178,Q178-U178))</f>
        <v/>
      </c>
      <c r="W178" s="23" t="str">
        <f t="shared" si="27"/>
        <v/>
      </c>
      <c r="X178" s="24" t="str">
        <f t="shared" si="28"/>
        <v/>
      </c>
      <c r="Y178" s="12"/>
      <c r="Z178" s="28"/>
      <c r="AA178" s="25"/>
      <c r="AB178" s="25"/>
      <c r="AC178" s="25"/>
      <c r="AD178" s="52" t="str">
        <f t="shared" si="29"/>
        <v/>
      </c>
      <c r="AE178" s="51" t="str">
        <f>IF(Z178="","",IF(K178="Long",Z178-Q178,Q178-Z178))</f>
        <v/>
      </c>
      <c r="AF178" s="53" t="str">
        <f>IF(AE178="","",AC178*O178/T178)</f>
        <v/>
      </c>
      <c r="AG178" s="44"/>
      <c r="AH178" s="2"/>
      <c r="AI178" s="2"/>
      <c r="AJ178" s="2"/>
      <c r="AK178" s="2"/>
      <c r="AL178" s="2"/>
    </row>
    <row r="179" spans="1:38" ht="12">
      <c r="A179" s="34"/>
      <c r="B179" s="59"/>
      <c r="C179" s="55"/>
      <c r="D179" s="11"/>
      <c r="E179" s="12"/>
      <c r="F179" s="13"/>
      <c r="G179" s="13"/>
      <c r="H179" s="29"/>
      <c r="I179" s="14"/>
      <c r="J179" s="15"/>
      <c r="K179" s="16"/>
      <c r="L179" s="40"/>
      <c r="M179" s="17"/>
      <c r="N179" s="18" t="str">
        <f t="shared" si="25"/>
        <v/>
      </c>
      <c r="O179" s="19"/>
      <c r="P179" s="20"/>
      <c r="Q179" s="26"/>
      <c r="R179" s="28"/>
      <c r="S179" s="21" t="str">
        <f>IF(R179="","",IF(K179="Long",Q179-R179,R179-Q179))</f>
        <v/>
      </c>
      <c r="T179" s="22" t="str">
        <f t="shared" si="26"/>
        <v/>
      </c>
      <c r="U179" s="27"/>
      <c r="V179" s="21" t="str">
        <f>IF(U179="","",IF(K179="Long",U179-Q179,Q179-U179))</f>
        <v/>
      </c>
      <c r="W179" s="23" t="str">
        <f t="shared" si="27"/>
        <v/>
      </c>
      <c r="X179" s="24" t="str">
        <f t="shared" si="28"/>
        <v/>
      </c>
      <c r="Y179" s="12"/>
      <c r="Z179" s="28"/>
      <c r="AA179" s="25"/>
      <c r="AB179" s="25"/>
      <c r="AC179" s="25"/>
      <c r="AD179" s="52" t="str">
        <f t="shared" si="29"/>
        <v/>
      </c>
      <c r="AE179" s="51" t="str">
        <f>IF(Z179="","",IF(K179="Long",Z179-Q179,Q179-Z179))</f>
        <v/>
      </c>
      <c r="AF179" s="53" t="str">
        <f>IF(AE179="","",AC179*O179/T179)</f>
        <v/>
      </c>
      <c r="AG179" s="44"/>
      <c r="AH179" s="2"/>
      <c r="AI179" s="2"/>
      <c r="AJ179" s="2"/>
      <c r="AK179" s="2"/>
      <c r="AL179" s="2"/>
    </row>
    <row r="180" spans="1:38" ht="12">
      <c r="A180" s="34"/>
      <c r="B180" s="59"/>
      <c r="C180" s="55"/>
      <c r="D180" s="11"/>
      <c r="E180" s="12"/>
      <c r="F180" s="13"/>
      <c r="G180" s="13"/>
      <c r="H180" s="29"/>
      <c r="I180" s="14"/>
      <c r="J180" s="15"/>
      <c r="K180" s="16"/>
      <c r="L180" s="40"/>
      <c r="M180" s="17"/>
      <c r="N180" s="18" t="str">
        <f t="shared" si="25"/>
        <v/>
      </c>
      <c r="O180" s="19"/>
      <c r="P180" s="20"/>
      <c r="Q180" s="26"/>
      <c r="R180" s="28"/>
      <c r="S180" s="21" t="str">
        <f>IF(R180="","",IF(K180="Long",Q180-R180,R180-Q180))</f>
        <v/>
      </c>
      <c r="T180" s="22" t="str">
        <f t="shared" si="26"/>
        <v/>
      </c>
      <c r="U180" s="27"/>
      <c r="V180" s="21" t="str">
        <f>IF(U180="","",IF(K180="Long",U180-Q180,Q180-U180))</f>
        <v/>
      </c>
      <c r="W180" s="23" t="str">
        <f t="shared" si="27"/>
        <v/>
      </c>
      <c r="X180" s="24" t="str">
        <f t="shared" si="28"/>
        <v/>
      </c>
      <c r="Y180" s="12"/>
      <c r="Z180" s="28"/>
      <c r="AA180" s="25"/>
      <c r="AB180" s="25"/>
      <c r="AC180" s="25"/>
      <c r="AD180" s="52" t="str">
        <f t="shared" si="29"/>
        <v/>
      </c>
      <c r="AE180" s="51" t="str">
        <f>IF(Z180="","",IF(K180="Long",Z180-Q180,Q180-Z180))</f>
        <v/>
      </c>
      <c r="AF180" s="53" t="str">
        <f>IF(AE180="","",AC180*O180/T180)</f>
        <v/>
      </c>
      <c r="AG180" s="44"/>
      <c r="AH180" s="2"/>
      <c r="AI180" s="2"/>
      <c r="AJ180" s="2"/>
      <c r="AK180" s="2"/>
      <c r="AL180" s="2"/>
    </row>
    <row r="181" spans="1:38" ht="12">
      <c r="A181" s="34"/>
      <c r="B181" s="59"/>
      <c r="C181" s="55"/>
      <c r="D181" s="11"/>
      <c r="E181" s="12"/>
      <c r="F181" s="13"/>
      <c r="G181" s="13"/>
      <c r="H181" s="29"/>
      <c r="I181" s="14"/>
      <c r="J181" s="15"/>
      <c r="K181" s="16"/>
      <c r="L181" s="40"/>
      <c r="M181" s="17"/>
      <c r="N181" s="18" t="str">
        <f t="shared" si="25"/>
        <v/>
      </c>
      <c r="O181" s="19"/>
      <c r="P181" s="20"/>
      <c r="Q181" s="26"/>
      <c r="R181" s="28"/>
      <c r="S181" s="21" t="str">
        <f>IF(R181="","",IF(K181="Long",Q181-R181,R181-Q181))</f>
        <v/>
      </c>
      <c r="T181" s="22" t="str">
        <f t="shared" si="26"/>
        <v/>
      </c>
      <c r="U181" s="27"/>
      <c r="V181" s="21" t="str">
        <f>IF(U181="","",IF(K181="Long",U181-Q181,Q181-U181))</f>
        <v/>
      </c>
      <c r="W181" s="23" t="str">
        <f t="shared" si="27"/>
        <v/>
      </c>
      <c r="X181" s="24" t="str">
        <f t="shared" si="28"/>
        <v/>
      </c>
      <c r="Y181" s="12"/>
      <c r="Z181" s="28"/>
      <c r="AA181" s="25"/>
      <c r="AB181" s="25"/>
      <c r="AC181" s="25"/>
      <c r="AD181" s="52" t="str">
        <f t="shared" si="29"/>
        <v/>
      </c>
      <c r="AE181" s="51" t="str">
        <f>IF(Z181="","",IF(K181="Long",Z181-Q181,Q181-Z181))</f>
        <v/>
      </c>
      <c r="AF181" s="53" t="str">
        <f>IF(AE181="","",AC181*O181/T181)</f>
        <v/>
      </c>
      <c r="AG181" s="44"/>
      <c r="AH181" s="2"/>
      <c r="AI181" s="2"/>
      <c r="AJ181" s="2"/>
      <c r="AK181" s="2"/>
      <c r="AL181" s="2"/>
    </row>
    <row r="182" spans="1:38" ht="12">
      <c r="A182" s="34"/>
      <c r="B182" s="59"/>
      <c r="C182" s="55"/>
      <c r="D182" s="11"/>
      <c r="E182" s="12"/>
      <c r="F182" s="13"/>
      <c r="G182" s="13"/>
      <c r="H182" s="29"/>
      <c r="I182" s="14"/>
      <c r="J182" s="15"/>
      <c r="K182" s="16"/>
      <c r="L182" s="40"/>
      <c r="M182" s="17"/>
      <c r="N182" s="18" t="str">
        <f t="shared" si="25"/>
        <v/>
      </c>
      <c r="O182" s="19"/>
      <c r="P182" s="20"/>
      <c r="Q182" s="26"/>
      <c r="R182" s="28"/>
      <c r="S182" s="21" t="str">
        <f>IF(R182="","",IF(K182="Long",Q182-R182,R182-Q182))</f>
        <v/>
      </c>
      <c r="T182" s="22" t="str">
        <f t="shared" si="26"/>
        <v/>
      </c>
      <c r="U182" s="27"/>
      <c r="V182" s="21" t="str">
        <f>IF(U182="","",IF(K182="Long",U182-Q182,Q182-U182))</f>
        <v/>
      </c>
      <c r="W182" s="23" t="str">
        <f t="shared" si="27"/>
        <v/>
      </c>
      <c r="X182" s="24" t="str">
        <f t="shared" si="28"/>
        <v/>
      </c>
      <c r="Y182" s="12"/>
      <c r="Z182" s="28"/>
      <c r="AA182" s="25"/>
      <c r="AB182" s="25"/>
      <c r="AC182" s="25"/>
      <c r="AD182" s="52" t="str">
        <f t="shared" si="29"/>
        <v/>
      </c>
      <c r="AE182" s="51" t="str">
        <f>IF(Z182="","",IF(K182="Long",Z182-Q182,Q182-Z182))</f>
        <v/>
      </c>
      <c r="AF182" s="53" t="str">
        <f>IF(AE182="","",AC182*O182/T182)</f>
        <v/>
      </c>
      <c r="AG182" s="44"/>
      <c r="AH182" s="2"/>
      <c r="AI182" s="2"/>
      <c r="AJ182" s="2"/>
      <c r="AK182" s="2"/>
      <c r="AL182" s="2"/>
    </row>
    <row r="183" spans="1:38" ht="12">
      <c r="A183" s="34"/>
      <c r="B183" s="59"/>
      <c r="C183" s="55"/>
      <c r="D183" s="11"/>
      <c r="E183" s="12"/>
      <c r="F183" s="13"/>
      <c r="G183" s="13"/>
      <c r="H183" s="29"/>
      <c r="I183" s="14"/>
      <c r="J183" s="15"/>
      <c r="K183" s="16"/>
      <c r="L183" s="40"/>
      <c r="M183" s="17"/>
      <c r="N183" s="18" t="str">
        <f t="shared" si="25"/>
        <v/>
      </c>
      <c r="O183" s="19"/>
      <c r="P183" s="20"/>
      <c r="Q183" s="26"/>
      <c r="R183" s="28"/>
      <c r="S183" s="21" t="str">
        <f>IF(R183="","",IF(K183="Long",Q183-R183,R183-Q183))</f>
        <v/>
      </c>
      <c r="T183" s="22" t="str">
        <f t="shared" si="26"/>
        <v/>
      </c>
      <c r="U183" s="27"/>
      <c r="V183" s="21" t="str">
        <f>IF(U183="","",IF(K183="Long",U183-Q183,Q183-U183))</f>
        <v/>
      </c>
      <c r="W183" s="23" t="str">
        <f t="shared" si="27"/>
        <v/>
      </c>
      <c r="X183" s="24" t="str">
        <f t="shared" si="28"/>
        <v/>
      </c>
      <c r="Y183" s="12"/>
      <c r="Z183" s="28"/>
      <c r="AA183" s="25"/>
      <c r="AB183" s="25"/>
      <c r="AC183" s="25"/>
      <c r="AD183" s="52" t="str">
        <f t="shared" si="29"/>
        <v/>
      </c>
      <c r="AE183" s="51" t="str">
        <f>IF(Z183="","",IF(K183="Long",Z183-Q183,Q183-Z183))</f>
        <v/>
      </c>
      <c r="AF183" s="53" t="str">
        <f>IF(AE183="","",AC183*O183/T183)</f>
        <v/>
      </c>
      <c r="AG183" s="44"/>
      <c r="AH183" s="2"/>
      <c r="AI183" s="2"/>
      <c r="AJ183" s="2"/>
      <c r="AK183" s="2"/>
      <c r="AL183" s="2"/>
    </row>
    <row r="184" spans="1:38" ht="12">
      <c r="A184" s="34"/>
      <c r="B184" s="59"/>
      <c r="C184" s="55"/>
      <c r="D184" s="11"/>
      <c r="E184" s="12"/>
      <c r="F184" s="13"/>
      <c r="G184" s="13"/>
      <c r="H184" s="29"/>
      <c r="I184" s="14"/>
      <c r="J184" s="15"/>
      <c r="K184" s="16"/>
      <c r="L184" s="40"/>
      <c r="M184" s="17"/>
      <c r="N184" s="18" t="str">
        <f t="shared" si="25"/>
        <v/>
      </c>
      <c r="O184" s="19"/>
      <c r="P184" s="20"/>
      <c r="Q184" s="26"/>
      <c r="R184" s="28"/>
      <c r="S184" s="21" t="str">
        <f>IF(R184="","",IF(K184="Long",Q184-R184,R184-Q184))</f>
        <v/>
      </c>
      <c r="T184" s="22" t="str">
        <f t="shared" si="26"/>
        <v/>
      </c>
      <c r="U184" s="27"/>
      <c r="V184" s="21" t="str">
        <f>IF(U184="","",IF(K184="Long",U184-Q184,Q184-U184))</f>
        <v/>
      </c>
      <c r="W184" s="23" t="str">
        <f t="shared" si="27"/>
        <v/>
      </c>
      <c r="X184" s="24" t="str">
        <f t="shared" si="28"/>
        <v/>
      </c>
      <c r="Y184" s="12"/>
      <c r="Z184" s="28"/>
      <c r="AA184" s="25"/>
      <c r="AB184" s="25"/>
      <c r="AC184" s="25"/>
      <c r="AD184" s="52" t="str">
        <f t="shared" si="29"/>
        <v/>
      </c>
      <c r="AE184" s="51" t="str">
        <f>IF(Z184="","",IF(K184="Long",Z184-Q184,Q184-Z184))</f>
        <v/>
      </c>
      <c r="AF184" s="53" t="str">
        <f>IF(AE184="","",AC184*O184/T184)</f>
        <v/>
      </c>
      <c r="AG184" s="44"/>
      <c r="AH184" s="2"/>
      <c r="AI184" s="2"/>
      <c r="AJ184" s="2"/>
      <c r="AK184" s="2"/>
      <c r="AL184" s="2"/>
    </row>
    <row r="185" spans="1:38" ht="12">
      <c r="A185" s="34"/>
      <c r="B185" s="59"/>
      <c r="C185" s="55"/>
      <c r="D185" s="11"/>
      <c r="E185" s="12"/>
      <c r="F185" s="13"/>
      <c r="G185" s="13"/>
      <c r="H185" s="29"/>
      <c r="I185" s="14"/>
      <c r="J185" s="15"/>
      <c r="K185" s="16"/>
      <c r="L185" s="40"/>
      <c r="M185" s="17"/>
      <c r="N185" s="18" t="str">
        <f t="shared" si="25"/>
        <v/>
      </c>
      <c r="O185" s="19"/>
      <c r="P185" s="20"/>
      <c r="Q185" s="26"/>
      <c r="R185" s="28"/>
      <c r="S185" s="21" t="str">
        <f>IF(R185="","",IF(K185="Long",Q185-R185,R185-Q185))</f>
        <v/>
      </c>
      <c r="T185" s="22" t="str">
        <f t="shared" si="26"/>
        <v/>
      </c>
      <c r="U185" s="27"/>
      <c r="V185" s="21" t="str">
        <f>IF(U185="","",IF(K185="Long",U185-Q185,Q185-U185))</f>
        <v/>
      </c>
      <c r="W185" s="23" t="str">
        <f t="shared" si="27"/>
        <v/>
      </c>
      <c r="X185" s="24" t="str">
        <f t="shared" si="28"/>
        <v/>
      </c>
      <c r="Y185" s="12"/>
      <c r="Z185" s="28"/>
      <c r="AA185" s="25"/>
      <c r="AB185" s="25"/>
      <c r="AC185" s="25"/>
      <c r="AD185" s="52" t="str">
        <f t="shared" si="29"/>
        <v/>
      </c>
      <c r="AE185" s="51" t="str">
        <f>IF(Z185="","",IF(K185="Long",Z185-Q185,Q185-Z185))</f>
        <v/>
      </c>
      <c r="AF185" s="53" t="str">
        <f>IF(AE185="","",AC185*O185/T185)</f>
        <v/>
      </c>
      <c r="AG185" s="44"/>
      <c r="AH185" s="2"/>
      <c r="AI185" s="2"/>
      <c r="AJ185" s="2"/>
      <c r="AK185" s="2"/>
      <c r="AL185" s="2"/>
    </row>
    <row r="186" spans="1:38" ht="12">
      <c r="A186" s="34"/>
      <c r="B186" s="59"/>
      <c r="C186" s="55"/>
      <c r="D186" s="11"/>
      <c r="E186" s="12"/>
      <c r="F186" s="13"/>
      <c r="G186" s="13"/>
      <c r="H186" s="29"/>
      <c r="I186" s="14"/>
      <c r="J186" s="15"/>
      <c r="K186" s="16"/>
      <c r="L186" s="40"/>
      <c r="M186" s="17"/>
      <c r="N186" s="18" t="str">
        <f t="shared" si="25"/>
        <v/>
      </c>
      <c r="O186" s="19"/>
      <c r="P186" s="20"/>
      <c r="Q186" s="26"/>
      <c r="R186" s="28"/>
      <c r="S186" s="21" t="str">
        <f>IF(R186="","",IF(K186="Long",Q186-R186,R186-Q186))</f>
        <v/>
      </c>
      <c r="T186" s="22" t="str">
        <f t="shared" si="26"/>
        <v/>
      </c>
      <c r="U186" s="27"/>
      <c r="V186" s="21" t="str">
        <f>IF(U186="","",IF(K186="Long",U186-Q186,Q186-U186))</f>
        <v/>
      </c>
      <c r="W186" s="23" t="str">
        <f t="shared" si="27"/>
        <v/>
      </c>
      <c r="X186" s="24" t="str">
        <f t="shared" si="28"/>
        <v/>
      </c>
      <c r="Y186" s="12"/>
      <c r="Z186" s="28"/>
      <c r="AA186" s="25"/>
      <c r="AB186" s="25"/>
      <c r="AC186" s="25"/>
      <c r="AD186" s="52" t="str">
        <f t="shared" si="29"/>
        <v/>
      </c>
      <c r="AE186" s="51" t="str">
        <f>IF(Z186="","",IF(K186="Long",Z186-Q186,Q186-Z186))</f>
        <v/>
      </c>
      <c r="AF186" s="53" t="str">
        <f>IF(AE186="","",AC186*O186/T186)</f>
        <v/>
      </c>
      <c r="AG186" s="44"/>
      <c r="AH186" s="2"/>
      <c r="AI186" s="2"/>
      <c r="AJ186" s="2"/>
      <c r="AK186" s="2"/>
      <c r="AL186" s="2"/>
    </row>
    <row r="187" spans="1:38" ht="12">
      <c r="A187" s="34"/>
      <c r="B187" s="59"/>
      <c r="C187" s="55"/>
      <c r="D187" s="11"/>
      <c r="E187" s="12"/>
      <c r="F187" s="13"/>
      <c r="G187" s="13"/>
      <c r="H187" s="29"/>
      <c r="I187" s="14"/>
      <c r="J187" s="15"/>
      <c r="K187" s="16"/>
      <c r="L187" s="40"/>
      <c r="M187" s="17"/>
      <c r="N187" s="18" t="str">
        <f t="shared" si="25"/>
        <v/>
      </c>
      <c r="O187" s="19"/>
      <c r="P187" s="20"/>
      <c r="Q187" s="26"/>
      <c r="R187" s="28"/>
      <c r="S187" s="21" t="str">
        <f>IF(R187="","",IF(K187="Long",Q187-R187,R187-Q187))</f>
        <v/>
      </c>
      <c r="T187" s="22" t="str">
        <f t="shared" si="26"/>
        <v/>
      </c>
      <c r="U187" s="27"/>
      <c r="V187" s="21" t="str">
        <f>IF(U187="","",IF(K187="Long",U187-Q187,Q187-U187))</f>
        <v/>
      </c>
      <c r="W187" s="23" t="str">
        <f t="shared" si="27"/>
        <v/>
      </c>
      <c r="X187" s="24" t="str">
        <f t="shared" si="28"/>
        <v/>
      </c>
      <c r="Y187" s="12"/>
      <c r="Z187" s="28"/>
      <c r="AA187" s="25"/>
      <c r="AB187" s="25"/>
      <c r="AC187" s="25"/>
      <c r="AD187" s="52" t="str">
        <f t="shared" si="29"/>
        <v/>
      </c>
      <c r="AE187" s="51" t="str">
        <f>IF(Z187="","",IF(K187="Long",Z187-Q187,Q187-Z187))</f>
        <v/>
      </c>
      <c r="AF187" s="53" t="str">
        <f>IF(AE187="","",AC187*O187/T187)</f>
        <v/>
      </c>
      <c r="AG187" s="44"/>
      <c r="AH187" s="2"/>
      <c r="AI187" s="2"/>
      <c r="AJ187" s="2"/>
      <c r="AK187" s="2"/>
      <c r="AL187" s="2"/>
    </row>
    <row r="188" spans="1:38" ht="12">
      <c r="A188" s="34"/>
      <c r="B188" s="59"/>
      <c r="C188" s="55"/>
      <c r="D188" s="11"/>
      <c r="E188" s="12"/>
      <c r="F188" s="13"/>
      <c r="G188" s="13"/>
      <c r="H188" s="29"/>
      <c r="I188" s="14"/>
      <c r="J188" s="15"/>
      <c r="K188" s="16"/>
      <c r="L188" s="40"/>
      <c r="M188" s="17"/>
      <c r="N188" s="18" t="str">
        <f t="shared" si="25"/>
        <v/>
      </c>
      <c r="O188" s="19"/>
      <c r="P188" s="20"/>
      <c r="Q188" s="26"/>
      <c r="R188" s="28"/>
      <c r="S188" s="21" t="str">
        <f>IF(R188="","",IF(K188="Long",Q188-R188,R188-Q188))</f>
        <v/>
      </c>
      <c r="T188" s="22" t="str">
        <f t="shared" si="26"/>
        <v/>
      </c>
      <c r="U188" s="27"/>
      <c r="V188" s="21" t="str">
        <f>IF(U188="","",IF(K188="Long",U188-Q188,Q188-U188))</f>
        <v/>
      </c>
      <c r="W188" s="23" t="str">
        <f t="shared" si="27"/>
        <v/>
      </c>
      <c r="X188" s="24" t="str">
        <f t="shared" si="28"/>
        <v/>
      </c>
      <c r="Y188" s="12"/>
      <c r="Z188" s="28"/>
      <c r="AA188" s="25"/>
      <c r="AB188" s="25"/>
      <c r="AC188" s="25"/>
      <c r="AD188" s="52" t="str">
        <f t="shared" si="29"/>
        <v/>
      </c>
      <c r="AE188" s="51" t="str">
        <f>IF(Z188="","",IF(K188="Long",Z188-Q188,Q188-Z188))</f>
        <v/>
      </c>
      <c r="AF188" s="53" t="str">
        <f>IF(AE188="","",AC188*O188/T188)</f>
        <v/>
      </c>
      <c r="AG188" s="44"/>
      <c r="AH188" s="2"/>
      <c r="AI188" s="2"/>
      <c r="AJ188" s="2"/>
      <c r="AK188" s="2"/>
      <c r="AL188" s="2"/>
    </row>
    <row r="189" spans="1:38" ht="12">
      <c r="A189" s="34"/>
      <c r="B189" s="59"/>
      <c r="C189" s="55"/>
      <c r="D189" s="11"/>
      <c r="E189" s="12"/>
      <c r="F189" s="13"/>
      <c r="G189" s="13"/>
      <c r="H189" s="29"/>
      <c r="I189" s="14"/>
      <c r="J189" s="15"/>
      <c r="K189" s="16"/>
      <c r="L189" s="40"/>
      <c r="M189" s="17"/>
      <c r="N189" s="18" t="str">
        <f t="shared" si="25"/>
        <v/>
      </c>
      <c r="O189" s="19"/>
      <c r="P189" s="20"/>
      <c r="Q189" s="26"/>
      <c r="R189" s="28"/>
      <c r="S189" s="21" t="str">
        <f>IF(R189="","",IF(K189="Long",Q189-R189,R189-Q189))</f>
        <v/>
      </c>
      <c r="T189" s="22" t="str">
        <f t="shared" si="26"/>
        <v/>
      </c>
      <c r="U189" s="27"/>
      <c r="V189" s="21" t="str">
        <f>IF(U189="","",IF(K189="Long",U189-Q189,Q189-U189))</f>
        <v/>
      </c>
      <c r="W189" s="23" t="str">
        <f t="shared" si="27"/>
        <v/>
      </c>
      <c r="X189" s="24" t="str">
        <f t="shared" si="28"/>
        <v/>
      </c>
      <c r="Y189" s="12"/>
      <c r="Z189" s="28"/>
      <c r="AA189" s="25"/>
      <c r="AB189" s="25"/>
      <c r="AC189" s="25"/>
      <c r="AD189" s="52" t="str">
        <f t="shared" si="29"/>
        <v/>
      </c>
      <c r="AE189" s="51" t="str">
        <f>IF(Z189="","",IF(K189="Long",Z189-Q189,Q189-Z189))</f>
        <v/>
      </c>
      <c r="AF189" s="53" t="str">
        <f>IF(AE189="","",AC189*O189/T189)</f>
        <v/>
      </c>
      <c r="AG189" s="44"/>
      <c r="AH189" s="2"/>
      <c r="AI189" s="2"/>
      <c r="AJ189" s="2"/>
      <c r="AK189" s="2"/>
      <c r="AL189" s="2"/>
    </row>
    <row r="190" spans="1:38" ht="12">
      <c r="A190" s="34"/>
      <c r="B190" s="59"/>
      <c r="C190" s="55"/>
      <c r="D190" s="11"/>
      <c r="E190" s="12"/>
      <c r="F190" s="13"/>
      <c r="G190" s="13"/>
      <c r="H190" s="29"/>
      <c r="I190" s="14"/>
      <c r="J190" s="15"/>
      <c r="K190" s="16"/>
      <c r="L190" s="40"/>
      <c r="M190" s="17"/>
      <c r="N190" s="18" t="str">
        <f t="shared" si="25"/>
        <v/>
      </c>
      <c r="O190" s="19"/>
      <c r="P190" s="20"/>
      <c r="Q190" s="26"/>
      <c r="R190" s="28"/>
      <c r="S190" s="21" t="str">
        <f>IF(R190="","",IF(K190="Long",Q190-R190,R190-Q190))</f>
        <v/>
      </c>
      <c r="T190" s="22" t="str">
        <f t="shared" si="26"/>
        <v/>
      </c>
      <c r="U190" s="27"/>
      <c r="V190" s="21" t="str">
        <f>IF(U190="","",IF(K190="Long",U190-Q190,Q190-U190))</f>
        <v/>
      </c>
      <c r="W190" s="23" t="str">
        <f t="shared" si="27"/>
        <v/>
      </c>
      <c r="X190" s="24" t="str">
        <f t="shared" si="28"/>
        <v/>
      </c>
      <c r="Y190" s="12"/>
      <c r="Z190" s="28"/>
      <c r="AA190" s="25"/>
      <c r="AB190" s="25"/>
      <c r="AC190" s="25"/>
      <c r="AD190" s="52" t="str">
        <f t="shared" si="29"/>
        <v/>
      </c>
      <c r="AE190" s="51" t="str">
        <f>IF(Z190="","",IF(K190="Long",Z190-Q190,Q190-Z190))</f>
        <v/>
      </c>
      <c r="AF190" s="53" t="str">
        <f>IF(AE190="","",AC190*O190/T190)</f>
        <v/>
      </c>
      <c r="AG190" s="44"/>
      <c r="AH190" s="2"/>
      <c r="AI190" s="2"/>
      <c r="AJ190" s="2"/>
      <c r="AK190" s="2"/>
      <c r="AL190" s="2"/>
    </row>
    <row r="191" spans="1:38" ht="12">
      <c r="A191" s="34"/>
      <c r="B191" s="59"/>
      <c r="C191" s="55"/>
      <c r="D191" s="11"/>
      <c r="E191" s="12"/>
      <c r="F191" s="13"/>
      <c r="G191" s="13"/>
      <c r="H191" s="29"/>
      <c r="I191" s="14"/>
      <c r="J191" s="15"/>
      <c r="K191" s="16"/>
      <c r="L191" s="40"/>
      <c r="M191" s="17"/>
      <c r="N191" s="18" t="str">
        <f t="shared" si="25"/>
        <v/>
      </c>
      <c r="O191" s="19"/>
      <c r="P191" s="20"/>
      <c r="Q191" s="26"/>
      <c r="R191" s="28"/>
      <c r="S191" s="21" t="str">
        <f>IF(R191="","",IF(K191="Long",Q191-R191,R191-Q191))</f>
        <v/>
      </c>
      <c r="T191" s="22" t="str">
        <f t="shared" si="26"/>
        <v/>
      </c>
      <c r="U191" s="27"/>
      <c r="V191" s="21" t="str">
        <f>IF(U191="","",IF(K191="Long",U191-Q191,Q191-U191))</f>
        <v/>
      </c>
      <c r="W191" s="23" t="str">
        <f t="shared" si="27"/>
        <v/>
      </c>
      <c r="X191" s="24" t="str">
        <f t="shared" si="28"/>
        <v/>
      </c>
      <c r="Y191" s="12"/>
      <c r="Z191" s="28"/>
      <c r="AA191" s="25"/>
      <c r="AB191" s="25"/>
      <c r="AC191" s="25"/>
      <c r="AD191" s="52" t="str">
        <f t="shared" si="29"/>
        <v/>
      </c>
      <c r="AE191" s="51" t="str">
        <f>IF(Z191="","",IF(K191="Long",Z191-Q191,Q191-Z191))</f>
        <v/>
      </c>
      <c r="AF191" s="53" t="str">
        <f>IF(AE191="","",AC191*O191/T191)</f>
        <v/>
      </c>
      <c r="AG191" s="44"/>
      <c r="AH191" s="2"/>
      <c r="AI191" s="2"/>
      <c r="AJ191" s="2"/>
      <c r="AK191" s="2"/>
      <c r="AL191" s="2"/>
    </row>
    <row r="192" spans="1:38" ht="12">
      <c r="A192" s="34"/>
      <c r="B192" s="59"/>
      <c r="C192" s="55"/>
      <c r="D192" s="11"/>
      <c r="E192" s="12"/>
      <c r="F192" s="13"/>
      <c r="G192" s="13"/>
      <c r="H192" s="29"/>
      <c r="I192" s="14"/>
      <c r="J192" s="15"/>
      <c r="K192" s="16"/>
      <c r="L192" s="40"/>
      <c r="M192" s="17"/>
      <c r="N192" s="18" t="str">
        <f t="shared" si="25"/>
        <v/>
      </c>
      <c r="O192" s="19"/>
      <c r="P192" s="20"/>
      <c r="Q192" s="26"/>
      <c r="R192" s="28"/>
      <c r="S192" s="21" t="str">
        <f>IF(R192="","",IF(K192="Long",Q192-R192,R192-Q192))</f>
        <v/>
      </c>
      <c r="T192" s="22" t="str">
        <f t="shared" si="26"/>
        <v/>
      </c>
      <c r="U192" s="27"/>
      <c r="V192" s="21" t="str">
        <f>IF(U192="","",IF(K192="Long",U192-Q192,Q192-U192))</f>
        <v/>
      </c>
      <c r="W192" s="23" t="str">
        <f t="shared" si="27"/>
        <v/>
      </c>
      <c r="X192" s="24" t="str">
        <f t="shared" si="28"/>
        <v/>
      </c>
      <c r="Y192" s="12"/>
      <c r="Z192" s="28"/>
      <c r="AA192" s="25"/>
      <c r="AB192" s="25"/>
      <c r="AC192" s="25"/>
      <c r="AD192" s="52" t="str">
        <f t="shared" si="29"/>
        <v/>
      </c>
      <c r="AE192" s="51" t="str">
        <f>IF(Z192="","",IF(K192="Long",Z192-Q192,Q192-Z192))</f>
        <v/>
      </c>
      <c r="AF192" s="53" t="str">
        <f>IF(AE192="","",AC192*O192/T192)</f>
        <v/>
      </c>
      <c r="AG192" s="44"/>
      <c r="AH192" s="2"/>
      <c r="AI192" s="2"/>
      <c r="AJ192" s="2"/>
      <c r="AK192" s="2"/>
      <c r="AL192" s="2"/>
    </row>
    <row r="193" spans="1:38" ht="12">
      <c r="A193" s="34"/>
      <c r="B193" s="59"/>
      <c r="C193" s="55"/>
      <c r="D193" s="11"/>
      <c r="E193" s="12"/>
      <c r="F193" s="13"/>
      <c r="G193" s="13"/>
      <c r="H193" s="29"/>
      <c r="I193" s="14"/>
      <c r="J193" s="15"/>
      <c r="K193" s="16"/>
      <c r="L193" s="40"/>
      <c r="M193" s="17"/>
      <c r="N193" s="18" t="str">
        <f t="shared" si="25"/>
        <v/>
      </c>
      <c r="O193" s="19"/>
      <c r="P193" s="20"/>
      <c r="Q193" s="26"/>
      <c r="R193" s="28"/>
      <c r="S193" s="21" t="str">
        <f>IF(R193="","",IF(K193="Long",Q193-R193,R193-Q193))</f>
        <v/>
      </c>
      <c r="T193" s="22" t="str">
        <f t="shared" si="26"/>
        <v/>
      </c>
      <c r="U193" s="27"/>
      <c r="V193" s="21" t="str">
        <f>IF(U193="","",IF(K193="Long",U193-Q193,Q193-U193))</f>
        <v/>
      </c>
      <c r="W193" s="23" t="str">
        <f t="shared" si="27"/>
        <v/>
      </c>
      <c r="X193" s="24" t="str">
        <f t="shared" si="28"/>
        <v/>
      </c>
      <c r="Y193" s="12"/>
      <c r="Z193" s="28"/>
      <c r="AA193" s="25"/>
      <c r="AB193" s="25"/>
      <c r="AC193" s="25"/>
      <c r="AD193" s="52" t="str">
        <f t="shared" si="29"/>
        <v/>
      </c>
      <c r="AE193" s="51" t="str">
        <f>IF(Z193="","",IF(K193="Long",Z193-Q193,Q193-Z193))</f>
        <v/>
      </c>
      <c r="AF193" s="53" t="str">
        <f>IF(AE193="","",AC193*O193/T193)</f>
        <v/>
      </c>
      <c r="AG193" s="44"/>
      <c r="AH193" s="32"/>
      <c r="AI193" s="32"/>
      <c r="AJ193" s="32"/>
      <c r="AK193" s="32"/>
      <c r="AL193" s="32"/>
    </row>
    <row r="194" spans="1:38" ht="12">
      <c r="A194" s="34"/>
      <c r="B194" s="59"/>
      <c r="C194" s="55"/>
      <c r="D194" s="11"/>
      <c r="E194" s="12"/>
      <c r="F194" s="13"/>
      <c r="G194" s="13"/>
      <c r="H194" s="29"/>
      <c r="I194" s="14"/>
      <c r="J194" s="15"/>
      <c r="K194" s="16"/>
      <c r="L194" s="40"/>
      <c r="M194" s="17"/>
      <c r="N194" s="18" t="str">
        <f t="shared" si="25"/>
        <v/>
      </c>
      <c r="O194" s="19"/>
      <c r="P194" s="20"/>
      <c r="Q194" s="26"/>
      <c r="R194" s="28"/>
      <c r="S194" s="21" t="str">
        <f>IF(R194="","",IF(K194="Long",Q194-R194,R194-Q194))</f>
        <v/>
      </c>
      <c r="T194" s="22" t="str">
        <f t="shared" si="26"/>
        <v/>
      </c>
      <c r="U194" s="27"/>
      <c r="V194" s="21" t="str">
        <f>IF(U194="","",IF(K194="Long",U194-Q194,Q194-U194))</f>
        <v/>
      </c>
      <c r="W194" s="23" t="str">
        <f t="shared" si="27"/>
        <v/>
      </c>
      <c r="X194" s="24" t="str">
        <f t="shared" si="28"/>
        <v/>
      </c>
      <c r="Y194" s="12"/>
      <c r="Z194" s="28"/>
      <c r="AA194" s="25"/>
      <c r="AB194" s="25"/>
      <c r="AC194" s="25"/>
      <c r="AD194" s="52" t="str">
        <f t="shared" si="29"/>
        <v/>
      </c>
      <c r="AE194" s="51" t="str">
        <f>IF(Z194="","",IF(K194="Long",Z194-Q194,Q194-Z194))</f>
        <v/>
      </c>
      <c r="AF194" s="53" t="str">
        <f>IF(AE194="","",AC194*O194/T194)</f>
        <v/>
      </c>
      <c r="AG194" s="44"/>
      <c r="AH194" s="32"/>
      <c r="AI194" s="32"/>
      <c r="AJ194" s="32"/>
      <c r="AK194" s="32"/>
      <c r="AL194" s="32"/>
    </row>
    <row r="195" spans="1:38" ht="12">
      <c r="A195" s="34"/>
      <c r="B195" s="59"/>
      <c r="C195" s="55"/>
      <c r="D195" s="11"/>
      <c r="E195" s="12"/>
      <c r="F195" s="13"/>
      <c r="G195" s="13"/>
      <c r="H195" s="29"/>
      <c r="I195" s="14"/>
      <c r="J195" s="15"/>
      <c r="K195" s="16"/>
      <c r="L195" s="40"/>
      <c r="M195" s="17"/>
      <c r="N195" s="18" t="str">
        <f t="shared" si="25"/>
        <v/>
      </c>
      <c r="O195" s="19"/>
      <c r="P195" s="20"/>
      <c r="Q195" s="26"/>
      <c r="R195" s="28"/>
      <c r="S195" s="21" t="str">
        <f>IF(R195="","",IF(K195="Long",Q195-R195,R195-Q195))</f>
        <v/>
      </c>
      <c r="T195" s="22" t="str">
        <f t="shared" si="26"/>
        <v/>
      </c>
      <c r="U195" s="27"/>
      <c r="V195" s="21" t="str">
        <f>IF(U195="","",IF(K195="Long",U195-Q195,Q195-U195))</f>
        <v/>
      </c>
      <c r="W195" s="23" t="str">
        <f t="shared" si="27"/>
        <v/>
      </c>
      <c r="X195" s="24" t="str">
        <f t="shared" si="28"/>
        <v/>
      </c>
      <c r="Y195" s="12"/>
      <c r="Z195" s="28"/>
      <c r="AA195" s="25"/>
      <c r="AB195" s="25"/>
      <c r="AC195" s="25"/>
      <c r="AD195" s="52" t="str">
        <f t="shared" si="29"/>
        <v/>
      </c>
      <c r="AE195" s="51" t="str">
        <f>IF(Z195="","",IF(K195="Long",Z195-Q195,Q195-Z195))</f>
        <v/>
      </c>
      <c r="AF195" s="53" t="str">
        <f>IF(AE195="","",AC195*O195/T195)</f>
        <v/>
      </c>
      <c r="AG195" s="44"/>
      <c r="AH195" s="32"/>
      <c r="AI195" s="32"/>
      <c r="AJ195" s="32"/>
      <c r="AK195" s="32"/>
      <c r="AL195" s="32"/>
    </row>
    <row r="196" spans="1:38" ht="12">
      <c r="A196" s="34"/>
      <c r="B196" s="59"/>
      <c r="C196" s="55"/>
      <c r="D196" s="11"/>
      <c r="E196" s="12"/>
      <c r="F196" s="13"/>
      <c r="G196" s="13"/>
      <c r="H196" s="29"/>
      <c r="I196" s="14"/>
      <c r="J196" s="15"/>
      <c r="K196" s="16"/>
      <c r="L196" s="40"/>
      <c r="M196" s="17"/>
      <c r="N196" s="18" t="str">
        <f t="shared" si="25"/>
        <v/>
      </c>
      <c r="O196" s="19"/>
      <c r="P196" s="20"/>
      <c r="Q196" s="26"/>
      <c r="R196" s="28"/>
      <c r="S196" s="21" t="str">
        <f>IF(R196="","",IF(K196="Long",Q196-R196,R196-Q196))</f>
        <v/>
      </c>
      <c r="T196" s="22" t="str">
        <f t="shared" si="26"/>
        <v/>
      </c>
      <c r="U196" s="27"/>
      <c r="V196" s="21" t="str">
        <f>IF(U196="","",IF(K196="Long",U196-Q196,Q196-U196))</f>
        <v/>
      </c>
      <c r="W196" s="23" t="str">
        <f t="shared" si="27"/>
        <v/>
      </c>
      <c r="X196" s="24" t="str">
        <f t="shared" si="28"/>
        <v/>
      </c>
      <c r="Y196" s="12"/>
      <c r="Z196" s="28"/>
      <c r="AA196" s="25"/>
      <c r="AB196" s="25"/>
      <c r="AC196" s="25"/>
      <c r="AD196" s="52" t="str">
        <f t="shared" si="29"/>
        <v/>
      </c>
      <c r="AE196" s="51" t="str">
        <f>IF(Z196="","",IF(K196="Long",Z196-Q196,Q196-Z196))</f>
        <v/>
      </c>
      <c r="AF196" s="53" t="str">
        <f>IF(AE196="","",AC196*O196/T196)</f>
        <v/>
      </c>
      <c r="AG196" s="44"/>
      <c r="AH196" s="32"/>
      <c r="AI196" s="32"/>
      <c r="AJ196" s="32"/>
      <c r="AK196" s="32"/>
      <c r="AL196" s="32"/>
    </row>
    <row r="197" spans="1:38" ht="12">
      <c r="A197" s="34"/>
      <c r="B197" s="59"/>
      <c r="C197" s="55"/>
      <c r="D197" s="11"/>
      <c r="E197" s="12"/>
      <c r="F197" s="13"/>
      <c r="G197" s="13"/>
      <c r="H197" s="29"/>
      <c r="I197" s="14"/>
      <c r="J197" s="15"/>
      <c r="K197" s="16"/>
      <c r="L197" s="40"/>
      <c r="M197" s="17"/>
      <c r="N197" s="18" t="str">
        <f t="shared" si="25"/>
        <v/>
      </c>
      <c r="O197" s="19"/>
      <c r="P197" s="20"/>
      <c r="Q197" s="26"/>
      <c r="R197" s="28"/>
      <c r="S197" s="21" t="str">
        <f>IF(R197="","",IF(K197="Long",Q197-R197,R197-Q197))</f>
        <v/>
      </c>
      <c r="T197" s="22" t="str">
        <f t="shared" si="26"/>
        <v/>
      </c>
      <c r="U197" s="27"/>
      <c r="V197" s="21" t="str">
        <f>IF(U197="","",IF(K197="Long",U197-Q197,Q197-U197))</f>
        <v/>
      </c>
      <c r="W197" s="23" t="str">
        <f t="shared" si="27"/>
        <v/>
      </c>
      <c r="X197" s="24" t="str">
        <f t="shared" si="28"/>
        <v/>
      </c>
      <c r="Y197" s="12"/>
      <c r="Z197" s="28"/>
      <c r="AA197" s="25"/>
      <c r="AB197" s="25"/>
      <c r="AC197" s="25"/>
      <c r="AD197" s="52" t="str">
        <f t="shared" si="29"/>
        <v/>
      </c>
      <c r="AE197" s="51" t="str">
        <f>IF(Z197="","",IF(K197="Long",Z197-Q197,Q197-Z197))</f>
        <v/>
      </c>
      <c r="AF197" s="53" t="str">
        <f>IF(AE197="","",AC197*O197/T197)</f>
        <v/>
      </c>
      <c r="AG197" s="44"/>
      <c r="AH197" s="32"/>
      <c r="AI197" s="32"/>
      <c r="AJ197" s="32"/>
      <c r="AK197" s="32"/>
      <c r="AL197" s="32"/>
    </row>
    <row r="198" spans="1:38" ht="12">
      <c r="A198" s="34"/>
      <c r="B198" s="59"/>
      <c r="C198" s="55"/>
      <c r="D198" s="11"/>
      <c r="E198" s="12"/>
      <c r="F198" s="13"/>
      <c r="G198" s="13"/>
      <c r="H198" s="29"/>
      <c r="I198" s="14"/>
      <c r="J198" s="15"/>
      <c r="K198" s="16"/>
      <c r="L198" s="40"/>
      <c r="M198" s="17"/>
      <c r="N198" s="18" t="str">
        <f t="shared" ref="N198:N206" si="30">IF(M198="","",O198*M198/100%)</f>
        <v/>
      </c>
      <c r="O198" s="19"/>
      <c r="P198" s="20"/>
      <c r="Q198" s="26"/>
      <c r="R198" s="28"/>
      <c r="S198" s="21" t="str">
        <f>IF(R198="","",IF(K198="Long",Q198-R198,R198-Q198))</f>
        <v/>
      </c>
      <c r="T198" s="22" t="str">
        <f t="shared" si="26"/>
        <v/>
      </c>
      <c r="U198" s="27"/>
      <c r="V198" s="21" t="str">
        <f>IF(U198="","",IF(K198="Long",U198-Q198,Q198-U198))</f>
        <v/>
      </c>
      <c r="W198" s="23" t="str">
        <f t="shared" si="27"/>
        <v/>
      </c>
      <c r="X198" s="24" t="str">
        <f t="shared" si="28"/>
        <v/>
      </c>
      <c r="Y198" s="12"/>
      <c r="Z198" s="28"/>
      <c r="AA198" s="25"/>
      <c r="AB198" s="25"/>
      <c r="AC198" s="25"/>
      <c r="AD198" s="52" t="str">
        <f t="shared" si="29"/>
        <v/>
      </c>
      <c r="AE198" s="51" t="str">
        <f>IF(Z198="","",IF(K198="Long",Z198-Q198,Q198-Z198))</f>
        <v/>
      </c>
      <c r="AF198" s="53" t="str">
        <f>IF(AE198="","",AC198*O198/T198)</f>
        <v/>
      </c>
      <c r="AG198" s="44"/>
      <c r="AH198" s="32"/>
      <c r="AI198" s="32"/>
      <c r="AJ198" s="32"/>
      <c r="AK198" s="32"/>
      <c r="AL198" s="32"/>
    </row>
    <row r="199" spans="1:38" ht="12">
      <c r="A199" s="34"/>
      <c r="B199" s="59"/>
      <c r="C199" s="55"/>
      <c r="D199" s="11"/>
      <c r="E199" s="12"/>
      <c r="F199" s="13"/>
      <c r="G199" s="13"/>
      <c r="H199" s="29"/>
      <c r="I199" s="14"/>
      <c r="J199" s="15"/>
      <c r="K199" s="16"/>
      <c r="L199" s="40"/>
      <c r="M199" s="17"/>
      <c r="N199" s="18" t="str">
        <f t="shared" si="30"/>
        <v/>
      </c>
      <c r="O199" s="19"/>
      <c r="P199" s="20"/>
      <c r="Q199" s="26"/>
      <c r="R199" s="28"/>
      <c r="S199" s="21" t="str">
        <f>IF(R199="","",IF(K199="Long",Q199-R199,R199-Q199))</f>
        <v/>
      </c>
      <c r="T199" s="22" t="str">
        <f t="shared" si="26"/>
        <v/>
      </c>
      <c r="U199" s="27"/>
      <c r="V199" s="21" t="str">
        <f>IF(U199="","",IF(K199="Long",U199-Q199,Q199-U199))</f>
        <v/>
      </c>
      <c r="W199" s="23" t="str">
        <f t="shared" si="27"/>
        <v/>
      </c>
      <c r="X199" s="24" t="str">
        <f t="shared" si="28"/>
        <v/>
      </c>
      <c r="Y199" s="12"/>
      <c r="Z199" s="28"/>
      <c r="AA199" s="25"/>
      <c r="AB199" s="25"/>
      <c r="AC199" s="25"/>
      <c r="AD199" s="52" t="str">
        <f t="shared" ref="AD199:AD206" si="31">IF(AC199="","",AC199+AB199+AA199)</f>
        <v/>
      </c>
      <c r="AE199" s="51" t="str">
        <f>IF(Z199="","",IF(K199="Long",Z199-Q199,Q199-Z199))</f>
        <v/>
      </c>
      <c r="AF199" s="53" t="str">
        <f>IF(AE199="","",AC199*O199/T199)</f>
        <v/>
      </c>
      <c r="AG199" s="44"/>
      <c r="AH199" s="32"/>
      <c r="AI199" s="32"/>
      <c r="AJ199" s="32"/>
      <c r="AK199" s="32"/>
      <c r="AL199" s="32"/>
    </row>
    <row r="200" spans="1:38" ht="12">
      <c r="A200" s="34"/>
      <c r="B200" s="59"/>
      <c r="C200" s="55"/>
      <c r="D200" s="11"/>
      <c r="E200" s="12"/>
      <c r="F200" s="13"/>
      <c r="G200" s="13"/>
      <c r="H200" s="29"/>
      <c r="I200" s="14"/>
      <c r="J200" s="15"/>
      <c r="K200" s="16"/>
      <c r="L200" s="40"/>
      <c r="M200" s="17"/>
      <c r="N200" s="18" t="str">
        <f t="shared" si="30"/>
        <v/>
      </c>
      <c r="O200" s="19"/>
      <c r="P200" s="20"/>
      <c r="Q200" s="26"/>
      <c r="R200" s="28"/>
      <c r="S200" s="21" t="str">
        <f>IF(R200="","",IF(K200="Long",Q200-R200,R200-Q200))</f>
        <v/>
      </c>
      <c r="T200" s="22" t="str">
        <f t="shared" si="26"/>
        <v/>
      </c>
      <c r="U200" s="27"/>
      <c r="V200" s="21" t="str">
        <f>IF(U200="","",IF(K200="Long",U200-Q200,Q200-U200))</f>
        <v/>
      </c>
      <c r="W200" s="23" t="str">
        <f t="shared" si="27"/>
        <v/>
      </c>
      <c r="X200" s="24" t="str">
        <f t="shared" si="28"/>
        <v/>
      </c>
      <c r="Y200" s="12"/>
      <c r="Z200" s="28"/>
      <c r="AA200" s="25"/>
      <c r="AB200" s="25"/>
      <c r="AC200" s="25"/>
      <c r="AD200" s="52" t="str">
        <f t="shared" si="31"/>
        <v/>
      </c>
      <c r="AE200" s="51" t="str">
        <f>IF(Z200="","",IF(K200="Long",Z200-Q200,Q200-Z200))</f>
        <v/>
      </c>
      <c r="AF200" s="53" t="str">
        <f>IF(AE200="","",AC200*O200/T200)</f>
        <v/>
      </c>
      <c r="AG200" s="44"/>
      <c r="AH200" s="32"/>
      <c r="AI200" s="32"/>
      <c r="AJ200" s="32"/>
      <c r="AK200" s="32"/>
      <c r="AL200" s="32"/>
    </row>
    <row r="201" spans="1:38" ht="12">
      <c r="A201" s="34"/>
      <c r="B201" s="59"/>
      <c r="C201" s="55"/>
      <c r="D201" s="11"/>
      <c r="E201" s="12"/>
      <c r="F201" s="13"/>
      <c r="G201" s="13"/>
      <c r="H201" s="29"/>
      <c r="I201" s="14"/>
      <c r="J201" s="15"/>
      <c r="K201" s="16"/>
      <c r="L201" s="40"/>
      <c r="M201" s="17"/>
      <c r="N201" s="18" t="str">
        <f t="shared" si="30"/>
        <v/>
      </c>
      <c r="O201" s="19"/>
      <c r="P201" s="20"/>
      <c r="Q201" s="26"/>
      <c r="R201" s="28"/>
      <c r="S201" s="21" t="str">
        <f>IF(R201="","",IF(K201="Long",Q201-R201,R201-Q201))</f>
        <v/>
      </c>
      <c r="T201" s="22" t="str">
        <f t="shared" si="26"/>
        <v/>
      </c>
      <c r="U201" s="27"/>
      <c r="V201" s="21" t="str">
        <f>IF(U201="","",IF(K201="Long",U201-Q201,Q201-U201))</f>
        <v/>
      </c>
      <c r="W201" s="23" t="str">
        <f t="shared" si="27"/>
        <v/>
      </c>
      <c r="X201" s="24" t="str">
        <f t="shared" si="28"/>
        <v/>
      </c>
      <c r="Y201" s="12"/>
      <c r="Z201" s="28"/>
      <c r="AA201" s="25"/>
      <c r="AB201" s="25"/>
      <c r="AC201" s="25"/>
      <c r="AD201" s="52" t="str">
        <f t="shared" si="31"/>
        <v/>
      </c>
      <c r="AE201" s="51" t="str">
        <f>IF(Z201="","",IF(K201="Long",Z201-Q201,Q201-Z201))</f>
        <v/>
      </c>
      <c r="AF201" s="53" t="str">
        <f>IF(AE201="","",AC201*O201/T201)</f>
        <v/>
      </c>
      <c r="AG201" s="44"/>
      <c r="AH201" s="32"/>
      <c r="AI201" s="32"/>
      <c r="AJ201" s="32"/>
      <c r="AK201" s="32"/>
      <c r="AL201" s="32"/>
    </row>
    <row r="202" spans="1:38" ht="12">
      <c r="A202" s="34"/>
      <c r="B202" s="59"/>
      <c r="C202" s="55"/>
      <c r="D202" s="11"/>
      <c r="E202" s="12"/>
      <c r="F202" s="13"/>
      <c r="G202" s="13"/>
      <c r="H202" s="29"/>
      <c r="I202" s="14"/>
      <c r="J202" s="15"/>
      <c r="K202" s="16"/>
      <c r="L202" s="40"/>
      <c r="M202" s="17"/>
      <c r="N202" s="18" t="str">
        <f t="shared" si="30"/>
        <v/>
      </c>
      <c r="O202" s="19"/>
      <c r="P202" s="20"/>
      <c r="Q202" s="26"/>
      <c r="R202" s="28"/>
      <c r="S202" s="21" t="str">
        <f>IF(R202="","",IF(K202="Long",Q202-R202,R202-Q202))</f>
        <v/>
      </c>
      <c r="T202" s="22" t="str">
        <f t="shared" si="26"/>
        <v/>
      </c>
      <c r="U202" s="27"/>
      <c r="V202" s="21" t="str">
        <f>IF(U202="","",IF(K202="Long",U202-Q202,Q202-U202))</f>
        <v/>
      </c>
      <c r="W202" s="23" t="str">
        <f t="shared" si="27"/>
        <v/>
      </c>
      <c r="X202" s="24" t="str">
        <f t="shared" si="28"/>
        <v/>
      </c>
      <c r="Y202" s="12"/>
      <c r="Z202" s="28"/>
      <c r="AA202" s="25"/>
      <c r="AB202" s="25"/>
      <c r="AC202" s="25"/>
      <c r="AD202" s="52" t="str">
        <f t="shared" si="31"/>
        <v/>
      </c>
      <c r="AE202" s="51" t="str">
        <f>IF(Z202="","",IF(K202="Long",Z202-Q202,Q202-Z202))</f>
        <v/>
      </c>
      <c r="AF202" s="53" t="str">
        <f>IF(AE202="","",AC202*O202/T202)</f>
        <v/>
      </c>
      <c r="AG202" s="44"/>
      <c r="AH202" s="32"/>
      <c r="AI202" s="32"/>
      <c r="AJ202" s="32"/>
      <c r="AK202" s="32"/>
      <c r="AL202" s="32"/>
    </row>
    <row r="203" spans="1:38" ht="12">
      <c r="A203" s="34"/>
      <c r="B203" s="59"/>
      <c r="C203" s="55"/>
      <c r="D203" s="11"/>
      <c r="E203" s="12"/>
      <c r="F203" s="13"/>
      <c r="G203" s="13"/>
      <c r="H203" s="29"/>
      <c r="I203" s="14"/>
      <c r="J203" s="15"/>
      <c r="K203" s="16"/>
      <c r="L203" s="40"/>
      <c r="M203" s="17"/>
      <c r="N203" s="18" t="str">
        <f t="shared" si="30"/>
        <v/>
      </c>
      <c r="O203" s="19"/>
      <c r="P203" s="20"/>
      <c r="Q203" s="26"/>
      <c r="R203" s="28"/>
      <c r="S203" s="21" t="str">
        <f>IF(R203="","",IF(K203="Long",Q203-R203,R203-Q203))</f>
        <v/>
      </c>
      <c r="T203" s="22" t="str">
        <f t="shared" si="26"/>
        <v/>
      </c>
      <c r="U203" s="27"/>
      <c r="V203" s="21" t="str">
        <f>IF(U203="","",IF(K203="Long",U203-Q203,Q203-U203))</f>
        <v/>
      </c>
      <c r="W203" s="23" t="str">
        <f t="shared" si="27"/>
        <v/>
      </c>
      <c r="X203" s="24" t="str">
        <f t="shared" si="28"/>
        <v/>
      </c>
      <c r="Y203" s="12"/>
      <c r="Z203" s="28"/>
      <c r="AA203" s="25"/>
      <c r="AB203" s="25"/>
      <c r="AC203" s="25"/>
      <c r="AD203" s="52" t="str">
        <f t="shared" si="31"/>
        <v/>
      </c>
      <c r="AE203" s="51" t="str">
        <f>IF(Z203="","",IF(K203="Long",Z203-Q203,Q203-Z203))</f>
        <v/>
      </c>
      <c r="AF203" s="53" t="str">
        <f>IF(AE203="","",AC203*O203/T203)</f>
        <v/>
      </c>
      <c r="AG203" s="44"/>
      <c r="AH203" s="32"/>
      <c r="AI203" s="32"/>
      <c r="AJ203" s="32"/>
      <c r="AK203" s="32"/>
      <c r="AL203" s="32"/>
    </row>
    <row r="204" spans="1:38" ht="12">
      <c r="A204" s="34"/>
      <c r="B204" s="59"/>
      <c r="C204" s="55"/>
      <c r="D204" s="11"/>
      <c r="E204" s="12"/>
      <c r="F204" s="13"/>
      <c r="G204" s="13"/>
      <c r="H204" s="29"/>
      <c r="I204" s="14"/>
      <c r="J204" s="15"/>
      <c r="K204" s="16"/>
      <c r="L204" s="40"/>
      <c r="M204" s="17"/>
      <c r="N204" s="18" t="str">
        <f t="shared" si="30"/>
        <v/>
      </c>
      <c r="O204" s="19"/>
      <c r="P204" s="20"/>
      <c r="Q204" s="26"/>
      <c r="R204" s="28"/>
      <c r="S204" s="21" t="str">
        <f>IF(R204="","",IF(K204="Long",Q204-R204,R204-Q204))</f>
        <v/>
      </c>
      <c r="T204" s="22" t="str">
        <f t="shared" si="26"/>
        <v/>
      </c>
      <c r="U204" s="27"/>
      <c r="V204" s="21" t="str">
        <f>IF(U204="","",IF(K204="Long",U204-Q204,Q204-U204))</f>
        <v/>
      </c>
      <c r="W204" s="23" t="str">
        <f t="shared" si="27"/>
        <v/>
      </c>
      <c r="X204" s="24" t="str">
        <f t="shared" si="28"/>
        <v/>
      </c>
      <c r="Y204" s="12"/>
      <c r="Z204" s="28"/>
      <c r="AA204" s="25"/>
      <c r="AB204" s="25"/>
      <c r="AC204" s="25"/>
      <c r="AD204" s="52" t="str">
        <f t="shared" si="31"/>
        <v/>
      </c>
      <c r="AE204" s="51" t="str">
        <f>IF(Z204="","",IF(K204="Long",Z204-Q204,Q204-Z204))</f>
        <v/>
      </c>
      <c r="AF204" s="53" t="str">
        <f>IF(AE204="","",AC204*O204/T204)</f>
        <v/>
      </c>
      <c r="AG204" s="44"/>
      <c r="AH204" s="32"/>
      <c r="AI204" s="32"/>
      <c r="AJ204" s="32"/>
      <c r="AK204" s="32"/>
      <c r="AL204" s="32"/>
    </row>
    <row r="205" spans="1:38" ht="12">
      <c r="A205" s="34"/>
      <c r="B205" s="59"/>
      <c r="C205" s="55"/>
      <c r="D205" s="11"/>
      <c r="E205" s="12"/>
      <c r="F205" s="13"/>
      <c r="G205" s="13"/>
      <c r="H205" s="29"/>
      <c r="I205" s="14"/>
      <c r="J205" s="15"/>
      <c r="K205" s="16"/>
      <c r="L205" s="40"/>
      <c r="M205" s="17"/>
      <c r="N205" s="18" t="str">
        <f t="shared" si="30"/>
        <v/>
      </c>
      <c r="O205" s="19"/>
      <c r="P205" s="20"/>
      <c r="Q205" s="26"/>
      <c r="R205" s="28"/>
      <c r="S205" s="21" t="str">
        <f>IF(R205="","",IF(K205="Long",Q205-R205,R205-Q205))</f>
        <v/>
      </c>
      <c r="T205" s="22" t="str">
        <f t="shared" si="26"/>
        <v/>
      </c>
      <c r="U205" s="27"/>
      <c r="V205" s="21" t="str">
        <f>IF(U205="","",IF(K205="Long",U205-Q205,Q205-U205))</f>
        <v/>
      </c>
      <c r="W205" s="23" t="str">
        <f t="shared" ref="W205:W206" si="32">IF(X205="","",X205*T205/1)</f>
        <v/>
      </c>
      <c r="X205" s="24" t="str">
        <f t="shared" ref="X205:X206" si="33">IF(V205="","",V205*1/S205)</f>
        <v/>
      </c>
      <c r="Y205" s="12"/>
      <c r="Z205" s="28"/>
      <c r="AA205" s="25"/>
      <c r="AB205" s="25"/>
      <c r="AC205" s="25"/>
      <c r="AD205" s="52" t="str">
        <f t="shared" si="31"/>
        <v/>
      </c>
      <c r="AE205" s="51" t="str">
        <f>IF(Z205="","",IF(K205="Long",Z205-Q205,Q205-Z205))</f>
        <v/>
      </c>
      <c r="AF205" s="53" t="str">
        <f>IF(AE205="","",AC205*O205/T205)</f>
        <v/>
      </c>
      <c r="AG205" s="44"/>
      <c r="AH205" s="32"/>
      <c r="AI205" s="32"/>
      <c r="AJ205" s="32"/>
      <c r="AK205" s="32"/>
      <c r="AL205" s="32"/>
    </row>
    <row r="206" spans="1:38" ht="12">
      <c r="A206" s="34"/>
      <c r="B206" s="59"/>
      <c r="C206" s="55"/>
      <c r="D206" s="11"/>
      <c r="E206" s="12"/>
      <c r="F206" s="13"/>
      <c r="G206" s="13"/>
      <c r="H206" s="29"/>
      <c r="I206" s="14"/>
      <c r="J206" s="15"/>
      <c r="K206" s="16"/>
      <c r="L206" s="40"/>
      <c r="M206" s="17"/>
      <c r="N206" s="18" t="str">
        <f t="shared" si="30"/>
        <v/>
      </c>
      <c r="O206" s="19"/>
      <c r="P206" s="20"/>
      <c r="Q206" s="26"/>
      <c r="R206" s="28"/>
      <c r="S206" s="21" t="str">
        <f>IF(R206="","",IF(K206="Long",Q206-R206,R206-Q206))</f>
        <v/>
      </c>
      <c r="T206" s="22" t="str">
        <f t="shared" ref="T206" si="34">IF(S206="","",N206)</f>
        <v/>
      </c>
      <c r="U206" s="27"/>
      <c r="V206" s="21" t="str">
        <f>IF(U206="","",IF(K206="Long",U206-Q206,Q206-U206))</f>
        <v/>
      </c>
      <c r="W206" s="23" t="str">
        <f t="shared" si="32"/>
        <v/>
      </c>
      <c r="X206" s="24" t="str">
        <f t="shared" si="33"/>
        <v/>
      </c>
      <c r="Y206" s="12"/>
      <c r="Z206" s="28"/>
      <c r="AA206" s="25"/>
      <c r="AB206" s="25"/>
      <c r="AC206" s="25"/>
      <c r="AD206" s="52" t="str">
        <f t="shared" si="31"/>
        <v/>
      </c>
      <c r="AE206" s="51" t="str">
        <f>IF(Z206="","",IF(K206="Long",Z206-Q206,Q206-Z206))</f>
        <v/>
      </c>
      <c r="AF206" s="53" t="str">
        <f>IF(AE206="","",AC206*O206/T206)</f>
        <v/>
      </c>
      <c r="AG206" s="44"/>
      <c r="AH206" s="32"/>
      <c r="AI206" s="32"/>
      <c r="AJ206" s="32"/>
      <c r="AK206" s="32"/>
      <c r="AL206" s="32"/>
    </row>
    <row r="207" spans="1:38" ht="12">
      <c r="A207" s="35"/>
      <c r="B207" s="32"/>
      <c r="C207" s="45"/>
      <c r="D207" s="32"/>
      <c r="E207" s="32"/>
      <c r="F207" s="32"/>
      <c r="G207" s="32"/>
      <c r="H207" s="32"/>
      <c r="I207" s="32"/>
      <c r="J207" s="32"/>
      <c r="K207" s="32"/>
      <c r="L207" s="41"/>
      <c r="M207" s="32"/>
      <c r="N207" s="32"/>
      <c r="O207" s="32"/>
      <c r="P207" s="32"/>
      <c r="Q207" s="47"/>
      <c r="R207" s="47"/>
      <c r="S207" s="32"/>
      <c r="T207" s="32"/>
      <c r="U207" s="47"/>
      <c r="V207" s="32"/>
      <c r="W207" s="32"/>
      <c r="X207" s="32"/>
      <c r="Y207" s="12"/>
      <c r="Z207" s="47"/>
      <c r="AA207" s="32"/>
      <c r="AB207" s="32"/>
      <c r="AC207" s="32"/>
      <c r="AD207" s="32"/>
      <c r="AE207" s="32"/>
      <c r="AF207" s="32"/>
      <c r="AG207" s="45"/>
      <c r="AH207" s="32"/>
      <c r="AI207" s="32"/>
      <c r="AJ207" s="32"/>
      <c r="AK207" s="32"/>
      <c r="AL207" s="32"/>
    </row>
    <row r="208" spans="1:38" ht="12">
      <c r="A208" s="35"/>
      <c r="B208" s="32"/>
      <c r="C208" s="45"/>
      <c r="D208" s="32"/>
      <c r="E208" s="32"/>
      <c r="F208" s="32"/>
      <c r="G208" s="32"/>
      <c r="H208" s="32"/>
      <c r="I208" s="32"/>
      <c r="J208" s="32"/>
      <c r="K208" s="32"/>
      <c r="L208" s="41"/>
      <c r="M208" s="32"/>
      <c r="N208" s="32"/>
      <c r="O208" s="32"/>
      <c r="P208" s="32"/>
      <c r="Q208" s="47"/>
      <c r="R208" s="47"/>
      <c r="S208" s="32"/>
      <c r="T208" s="32"/>
      <c r="U208" s="47"/>
      <c r="V208" s="32"/>
      <c r="W208" s="32"/>
      <c r="X208" s="32"/>
      <c r="Y208" s="12"/>
      <c r="Z208" s="47"/>
      <c r="AA208" s="32"/>
      <c r="AB208" s="32"/>
      <c r="AC208" s="32"/>
      <c r="AD208" s="32"/>
      <c r="AE208" s="32"/>
      <c r="AF208" s="32"/>
      <c r="AG208" s="45"/>
      <c r="AH208" s="32"/>
      <c r="AI208" s="32"/>
      <c r="AJ208" s="32"/>
      <c r="AK208" s="32"/>
      <c r="AL208" s="32"/>
    </row>
    <row r="209" spans="1:38" ht="12">
      <c r="A209" s="35"/>
      <c r="B209" s="32"/>
      <c r="C209" s="45"/>
      <c r="D209" s="32"/>
      <c r="E209" s="32"/>
      <c r="F209" s="32"/>
      <c r="G209" s="32"/>
      <c r="H209" s="32"/>
      <c r="I209" s="32"/>
      <c r="J209" s="32"/>
      <c r="K209" s="32"/>
      <c r="L209" s="41"/>
      <c r="M209" s="32"/>
      <c r="N209" s="32"/>
      <c r="O209" s="32"/>
      <c r="P209" s="32"/>
      <c r="Q209" s="47"/>
      <c r="R209" s="47"/>
      <c r="S209" s="32"/>
      <c r="T209" s="32"/>
      <c r="U209" s="47"/>
      <c r="V209" s="32"/>
      <c r="W209" s="32"/>
      <c r="X209" s="32"/>
      <c r="Y209" s="32"/>
      <c r="Z209" s="47"/>
      <c r="AA209" s="32"/>
      <c r="AB209" s="32"/>
      <c r="AC209" s="32"/>
      <c r="AD209" s="32"/>
      <c r="AE209" s="32"/>
      <c r="AF209" s="32"/>
      <c r="AG209" s="45"/>
      <c r="AH209" s="32"/>
      <c r="AI209" s="32"/>
      <c r="AJ209" s="32"/>
      <c r="AK209" s="32"/>
      <c r="AL209" s="32"/>
    </row>
    <row r="210" spans="1:38" ht="12">
      <c r="A210" s="35"/>
      <c r="B210" s="32"/>
      <c r="C210" s="45"/>
      <c r="D210" s="32"/>
      <c r="E210" s="32"/>
      <c r="F210" s="32"/>
      <c r="G210" s="32"/>
      <c r="H210" s="32"/>
      <c r="I210" s="32"/>
      <c r="J210" s="32"/>
      <c r="K210" s="32"/>
      <c r="L210" s="41"/>
      <c r="M210" s="32"/>
      <c r="N210" s="32"/>
      <c r="O210" s="32"/>
      <c r="P210" s="32"/>
      <c r="Q210" s="47"/>
      <c r="R210" s="47"/>
      <c r="S210" s="32"/>
      <c r="T210" s="32"/>
      <c r="U210" s="47"/>
      <c r="V210" s="32"/>
      <c r="W210" s="32"/>
      <c r="X210" s="32"/>
      <c r="Y210" s="32"/>
      <c r="Z210" s="47"/>
      <c r="AA210" s="32"/>
      <c r="AB210" s="32"/>
      <c r="AC210" s="32"/>
      <c r="AD210" s="32"/>
      <c r="AE210" s="32"/>
      <c r="AF210" s="32"/>
      <c r="AG210" s="45"/>
      <c r="AH210" s="32"/>
      <c r="AI210" s="32"/>
      <c r="AJ210" s="32"/>
      <c r="AK210" s="32"/>
      <c r="AL210" s="32"/>
    </row>
    <row r="211" spans="1:38" ht="12">
      <c r="A211" s="35"/>
      <c r="B211" s="32"/>
      <c r="C211" s="45"/>
      <c r="D211" s="32"/>
      <c r="E211" s="32"/>
      <c r="F211" s="32"/>
      <c r="G211" s="32"/>
      <c r="H211" s="32"/>
      <c r="I211" s="32"/>
      <c r="J211" s="32"/>
      <c r="K211" s="32"/>
      <c r="L211" s="41"/>
      <c r="M211" s="32"/>
      <c r="N211" s="32"/>
      <c r="O211" s="32"/>
      <c r="P211" s="32"/>
      <c r="Q211" s="47"/>
      <c r="R211" s="47"/>
      <c r="S211" s="32"/>
      <c r="T211" s="32"/>
      <c r="U211" s="47"/>
      <c r="V211" s="32"/>
      <c r="W211" s="32"/>
      <c r="X211" s="32"/>
      <c r="Y211" s="32"/>
      <c r="Z211" s="47"/>
      <c r="AA211" s="32"/>
      <c r="AB211" s="32"/>
      <c r="AC211" s="32"/>
      <c r="AD211" s="32"/>
      <c r="AE211" s="32"/>
      <c r="AF211" s="32"/>
      <c r="AG211" s="45"/>
      <c r="AH211" s="32"/>
      <c r="AI211" s="32"/>
      <c r="AJ211" s="32"/>
      <c r="AK211" s="32"/>
      <c r="AL211" s="32"/>
    </row>
    <row r="212" spans="1:38" ht="12">
      <c r="A212" s="35"/>
      <c r="B212" s="32"/>
      <c r="C212" s="45"/>
      <c r="D212" s="32"/>
      <c r="E212" s="32"/>
      <c r="F212" s="32"/>
      <c r="G212" s="32"/>
      <c r="H212" s="32"/>
      <c r="I212" s="32"/>
      <c r="J212" s="32"/>
      <c r="K212" s="32"/>
      <c r="L212" s="41"/>
      <c r="M212" s="32"/>
      <c r="N212" s="32"/>
      <c r="O212" s="32"/>
      <c r="P212" s="32"/>
      <c r="Q212" s="47"/>
      <c r="R212" s="47"/>
      <c r="S212" s="32"/>
      <c r="T212" s="32"/>
      <c r="U212" s="47"/>
      <c r="V212" s="32"/>
      <c r="W212" s="32"/>
      <c r="X212" s="32"/>
      <c r="Y212" s="32"/>
      <c r="Z212" s="47"/>
      <c r="AA212" s="32"/>
      <c r="AB212" s="32"/>
      <c r="AC212" s="32"/>
      <c r="AD212" s="32"/>
      <c r="AE212" s="32"/>
      <c r="AF212" s="32"/>
      <c r="AG212" s="45"/>
      <c r="AH212" s="32"/>
      <c r="AI212" s="32"/>
      <c r="AJ212" s="32"/>
      <c r="AK212" s="32"/>
      <c r="AL212" s="32"/>
    </row>
    <row r="213" spans="1:38" ht="12">
      <c r="A213" s="35"/>
      <c r="B213" s="32"/>
      <c r="C213" s="45"/>
      <c r="D213" s="32"/>
      <c r="E213" s="32"/>
      <c r="F213" s="32"/>
      <c r="G213" s="32"/>
      <c r="H213" s="32"/>
      <c r="I213" s="32"/>
      <c r="J213" s="32"/>
      <c r="K213" s="32"/>
      <c r="L213" s="41"/>
      <c r="M213" s="32"/>
      <c r="N213" s="32"/>
      <c r="O213" s="32"/>
      <c r="P213" s="32"/>
      <c r="Q213" s="47"/>
      <c r="R213" s="47"/>
      <c r="S213" s="32"/>
      <c r="T213" s="32"/>
      <c r="U213" s="47"/>
      <c r="V213" s="32"/>
      <c r="W213" s="32"/>
      <c r="X213" s="32"/>
      <c r="Y213" s="32"/>
      <c r="Z213" s="47"/>
      <c r="AA213" s="32"/>
      <c r="AB213" s="32"/>
      <c r="AC213" s="32"/>
      <c r="AD213" s="32"/>
      <c r="AE213" s="32"/>
      <c r="AF213" s="32"/>
      <c r="AG213" s="45"/>
      <c r="AH213" s="32"/>
      <c r="AI213" s="32"/>
      <c r="AJ213" s="32"/>
      <c r="AK213" s="32"/>
      <c r="AL213" s="32"/>
    </row>
    <row r="214" spans="1:38" ht="12">
      <c r="A214" s="35"/>
      <c r="B214" s="32"/>
      <c r="C214" s="45"/>
      <c r="D214" s="32"/>
      <c r="E214" s="32"/>
      <c r="F214" s="32"/>
      <c r="G214" s="32"/>
      <c r="H214" s="32"/>
      <c r="I214" s="32"/>
      <c r="J214" s="32"/>
      <c r="K214" s="32"/>
      <c r="L214" s="41"/>
      <c r="M214" s="32"/>
      <c r="N214" s="32"/>
      <c r="O214" s="32"/>
      <c r="P214" s="32"/>
      <c r="Q214" s="47"/>
      <c r="R214" s="47"/>
      <c r="S214" s="32"/>
      <c r="T214" s="32"/>
      <c r="U214" s="47"/>
      <c r="V214" s="32"/>
      <c r="W214" s="32"/>
      <c r="X214" s="32"/>
      <c r="Y214" s="32"/>
      <c r="Z214" s="47"/>
      <c r="AA214" s="32"/>
      <c r="AB214" s="32"/>
      <c r="AC214" s="32"/>
      <c r="AD214" s="32"/>
      <c r="AE214" s="32"/>
      <c r="AF214" s="32"/>
      <c r="AG214" s="45"/>
      <c r="AH214" s="32"/>
      <c r="AI214" s="32"/>
      <c r="AJ214" s="32"/>
      <c r="AK214" s="32"/>
      <c r="AL214" s="32"/>
    </row>
    <row r="215" spans="1:38" ht="12">
      <c r="A215" s="35"/>
      <c r="B215" s="32"/>
      <c r="C215" s="45"/>
      <c r="D215" s="32"/>
      <c r="E215" s="32"/>
      <c r="F215" s="32"/>
      <c r="G215" s="32"/>
      <c r="H215" s="32"/>
      <c r="I215" s="32"/>
      <c r="J215" s="32"/>
      <c r="K215" s="32"/>
      <c r="L215" s="41"/>
      <c r="M215" s="32"/>
      <c r="N215" s="32"/>
      <c r="O215" s="32"/>
      <c r="P215" s="32"/>
      <c r="Q215" s="47"/>
      <c r="R215" s="47"/>
      <c r="S215" s="32"/>
      <c r="T215" s="32"/>
      <c r="U215" s="47"/>
      <c r="V215" s="32"/>
      <c r="W215" s="32"/>
      <c r="X215" s="32"/>
      <c r="Y215" s="32"/>
      <c r="Z215" s="47"/>
      <c r="AA215" s="32"/>
      <c r="AB215" s="32"/>
      <c r="AC215" s="32"/>
      <c r="AD215" s="32"/>
      <c r="AE215" s="32"/>
      <c r="AF215" s="32"/>
      <c r="AG215" s="45"/>
      <c r="AH215" s="32"/>
      <c r="AI215" s="32"/>
      <c r="AJ215" s="32"/>
      <c r="AK215" s="32"/>
      <c r="AL215" s="32"/>
    </row>
    <row r="216" spans="1:38" ht="12">
      <c r="A216" s="35"/>
      <c r="B216" s="32"/>
      <c r="C216" s="45"/>
      <c r="D216" s="32"/>
      <c r="E216" s="32"/>
      <c r="F216" s="32"/>
      <c r="G216" s="32"/>
      <c r="H216" s="32"/>
      <c r="I216" s="32"/>
      <c r="J216" s="32"/>
      <c r="K216" s="32"/>
      <c r="L216" s="41"/>
      <c r="M216" s="32"/>
      <c r="N216" s="32"/>
      <c r="O216" s="32"/>
      <c r="P216" s="32"/>
      <c r="Q216" s="47"/>
      <c r="R216" s="47"/>
      <c r="S216" s="32"/>
      <c r="T216" s="32"/>
      <c r="U216" s="47"/>
      <c r="V216" s="32"/>
      <c r="W216" s="32"/>
      <c r="X216" s="32"/>
      <c r="Y216" s="32"/>
      <c r="Z216" s="47"/>
      <c r="AA216" s="32"/>
      <c r="AB216" s="32"/>
      <c r="AC216" s="32"/>
      <c r="AD216" s="32"/>
      <c r="AE216" s="32"/>
      <c r="AF216" s="32"/>
      <c r="AG216" s="45"/>
      <c r="AH216" s="32"/>
      <c r="AI216" s="32"/>
      <c r="AJ216" s="32"/>
      <c r="AK216" s="32"/>
      <c r="AL216" s="32"/>
    </row>
    <row r="217" spans="1:38" ht="12">
      <c r="A217" s="35"/>
      <c r="B217" s="32"/>
      <c r="C217" s="45"/>
      <c r="D217" s="32"/>
      <c r="E217" s="32"/>
      <c r="F217" s="32"/>
      <c r="G217" s="32"/>
      <c r="H217" s="32"/>
      <c r="I217" s="32"/>
      <c r="J217" s="32"/>
      <c r="K217" s="32"/>
      <c r="L217" s="41"/>
      <c r="M217" s="32"/>
      <c r="N217" s="32"/>
      <c r="O217" s="32"/>
      <c r="P217" s="32"/>
      <c r="Q217" s="47"/>
      <c r="R217" s="47"/>
      <c r="S217" s="32"/>
      <c r="T217" s="32"/>
      <c r="U217" s="47"/>
      <c r="V217" s="32"/>
      <c r="W217" s="32"/>
      <c r="X217" s="32"/>
      <c r="Y217" s="32"/>
      <c r="Z217" s="47"/>
      <c r="AA217" s="32"/>
      <c r="AB217" s="32"/>
      <c r="AC217" s="32"/>
      <c r="AD217" s="32"/>
      <c r="AE217" s="32"/>
      <c r="AF217" s="32"/>
      <c r="AG217" s="45"/>
      <c r="AH217" s="32"/>
      <c r="AI217" s="32"/>
      <c r="AJ217" s="32"/>
      <c r="AK217" s="32"/>
      <c r="AL217" s="32"/>
    </row>
    <row r="218" spans="1:38" ht="12">
      <c r="A218" s="35"/>
      <c r="B218" s="32"/>
      <c r="C218" s="45"/>
      <c r="D218" s="32"/>
      <c r="E218" s="32"/>
      <c r="F218" s="32"/>
      <c r="G218" s="32"/>
      <c r="H218" s="32"/>
      <c r="I218" s="32"/>
      <c r="J218" s="32"/>
      <c r="K218" s="32"/>
      <c r="L218" s="41"/>
      <c r="M218" s="32"/>
      <c r="N218" s="32"/>
      <c r="O218" s="32"/>
      <c r="P218" s="32"/>
      <c r="Q218" s="47"/>
      <c r="R218" s="47"/>
      <c r="S218" s="32"/>
      <c r="T218" s="32"/>
      <c r="U218" s="47"/>
      <c r="V218" s="32"/>
      <c r="W218" s="32"/>
      <c r="X218" s="32"/>
      <c r="Y218" s="32"/>
      <c r="Z218" s="47"/>
      <c r="AA218" s="32"/>
      <c r="AB218" s="32"/>
      <c r="AC218" s="32"/>
      <c r="AD218" s="32"/>
      <c r="AE218" s="32"/>
      <c r="AF218" s="32"/>
      <c r="AG218" s="45"/>
      <c r="AH218" s="32"/>
      <c r="AI218" s="32"/>
      <c r="AJ218" s="32"/>
      <c r="AK218" s="32"/>
      <c r="AL218" s="32"/>
    </row>
  </sheetData>
  <autoFilter ref="A5:AF208" xr:uid="{FC3EFB27-2E31-4F41-BBF2-44901A412DA0}"/>
  <mergeCells count="42">
    <mergeCell ref="AD3:AD5"/>
    <mergeCell ref="Y2:AF2"/>
    <mergeCell ref="BE3:BG4"/>
    <mergeCell ref="BE11:BG11"/>
    <mergeCell ref="BE17:BG17"/>
    <mergeCell ref="AH3:AH5"/>
    <mergeCell ref="C2:C5"/>
    <mergeCell ref="K2:K5"/>
    <mergeCell ref="J2:J5"/>
    <mergeCell ref="I2:I5"/>
    <mergeCell ref="H2:H5"/>
    <mergeCell ref="E2:E5"/>
    <mergeCell ref="D2:D5"/>
    <mergeCell ref="G2:G5"/>
    <mergeCell ref="F2:F5"/>
    <mergeCell ref="BC3:BC4"/>
    <mergeCell ref="BD3:BD4"/>
    <mergeCell ref="U2:X2"/>
    <mergeCell ref="R2:T2"/>
    <mergeCell ref="X3:X5"/>
    <mergeCell ref="W3:W5"/>
    <mergeCell ref="V3:V5"/>
    <mergeCell ref="AG2:AG5"/>
    <mergeCell ref="U3:U5"/>
    <mergeCell ref="AF3:AF5"/>
    <mergeCell ref="AE3:AE5"/>
    <mergeCell ref="AC3:AC5"/>
    <mergeCell ref="Z3:Z5"/>
    <mergeCell ref="Y3:Y5"/>
    <mergeCell ref="L2:L5"/>
    <mergeCell ref="P3:P5"/>
    <mergeCell ref="N3:N5"/>
    <mergeCell ref="O3:O5"/>
    <mergeCell ref="M3:M5"/>
    <mergeCell ref="M2:Q2"/>
    <mergeCell ref="S3:S5"/>
    <mergeCell ref="T3:T5"/>
    <mergeCell ref="Q3:Q5"/>
    <mergeCell ref="R3:R5"/>
    <mergeCell ref="AB3:AB5"/>
    <mergeCell ref="AA3:AA5"/>
    <mergeCell ref="B2:B5"/>
  </mergeCells>
  <phoneticPr fontId="5" type="noConversion"/>
  <conditionalFormatting sqref="AZ5:AZ15">
    <cfRule type="dataBar" priority="293">
      <dataBar>
        <cfvo type="min"/>
        <cfvo type="max"/>
        <color rgb="FFDA9100"/>
      </dataBar>
      <extLst>
        <ext xmlns:x14="http://schemas.microsoft.com/office/spreadsheetml/2009/9/main" uri="{B025F937-C7B1-47D3-B67F-A62EFF666E3E}">
          <x14:id>{DF88A19E-09C8-490E-8B60-68250DAFC01D}</x14:id>
        </ext>
      </extLst>
    </cfRule>
  </conditionalFormatting>
  <conditionalFormatting sqref="BA5:BA14">
    <cfRule type="iconSet" priority="291">
      <iconSet iconSet="3Symbols2">
        <cfvo type="percent" val="0"/>
        <cfvo type="num" val="3"/>
        <cfvo type="num" val="5"/>
      </iconSet>
    </cfRule>
    <cfRule type="colorScale" priority="292">
      <colorScale>
        <cfvo type="num" val="-1"/>
        <cfvo type="num" val="3"/>
        <cfvo type="num" val="8"/>
        <color rgb="FFF8696B"/>
        <color rgb="FFFFEB84"/>
        <color rgb="FF63BE7B"/>
      </colorScale>
    </cfRule>
  </conditionalFormatting>
  <conditionalFormatting sqref="L164:L206">
    <cfRule type="cellIs" dxfId="33" priority="289" operator="equal">
      <formula>"L"</formula>
    </cfRule>
    <cfRule type="cellIs" dxfId="32" priority="290" operator="equal">
      <formula>"W"</formula>
    </cfRule>
  </conditionalFormatting>
  <conditionalFormatting sqref="AY5:AY15">
    <cfRule type="colorScale" priority="296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L164:L206">
    <cfRule type="cellIs" dxfId="31" priority="280" operator="equal">
      <formula>"W"</formula>
    </cfRule>
  </conditionalFormatting>
  <conditionalFormatting sqref="I164:I206">
    <cfRule type="cellIs" dxfId="30" priority="250" operator="equal">
      <formula>"retest"</formula>
    </cfRule>
  </conditionalFormatting>
  <conditionalFormatting sqref="AF164:AF206">
    <cfRule type="cellIs" dxfId="29" priority="192" operator="greaterThan">
      <formula>0</formula>
    </cfRule>
    <cfRule type="cellIs" dxfId="28" priority="193" operator="lessThan">
      <formula>0</formula>
    </cfRule>
  </conditionalFormatting>
  <conditionalFormatting sqref="AA164:AD206">
    <cfRule type="cellIs" dxfId="27" priority="186" operator="lessThan">
      <formula>0</formula>
    </cfRule>
    <cfRule type="cellIs" dxfId="26" priority="187" operator="greaterThan">
      <formula>0</formula>
    </cfRule>
  </conditionalFormatting>
  <conditionalFormatting sqref="G164:G206">
    <cfRule type="cellIs" dxfId="25" priority="161" operator="equal">
      <formula>"Exotics"</formula>
    </cfRule>
  </conditionalFormatting>
  <conditionalFormatting sqref="G164:G206">
    <cfRule type="cellIs" dxfId="24" priority="160" operator="equal">
      <formula>"MAJORS"</formula>
    </cfRule>
  </conditionalFormatting>
  <conditionalFormatting sqref="G6:G82">
    <cfRule type="cellIs" dxfId="23" priority="15" operator="equal">
      <formula>"MAJORS"</formula>
    </cfRule>
    <cfRule type="cellIs" dxfId="22" priority="16" operator="equal">
      <formula>"Exotics"</formula>
    </cfRule>
  </conditionalFormatting>
  <conditionalFormatting sqref="I6:I82">
    <cfRule type="cellIs" dxfId="21" priority="17" operator="equal">
      <formula>"retest"</formula>
    </cfRule>
  </conditionalFormatting>
  <conditionalFormatting sqref="L6:L82">
    <cfRule type="cellIs" dxfId="20" priority="18" operator="equal">
      <formula>"W"</formula>
    </cfRule>
    <cfRule type="cellIs" dxfId="19" priority="19" operator="equal">
      <formula>"L"</formula>
    </cfRule>
    <cfRule type="cellIs" dxfId="18" priority="20" operator="equal">
      <formula>"W"</formula>
    </cfRule>
  </conditionalFormatting>
  <conditionalFormatting sqref="AA6:AD82">
    <cfRule type="cellIs" dxfId="17" priority="21" operator="lessThan">
      <formula>0</formula>
    </cfRule>
    <cfRule type="cellIs" dxfId="16" priority="22" operator="greaterThan">
      <formula>0</formula>
    </cfRule>
  </conditionalFormatting>
  <conditionalFormatting sqref="AF6:AF82">
    <cfRule type="cellIs" dxfId="15" priority="23" operator="greaterThan">
      <formula>0</formula>
    </cfRule>
    <cfRule type="cellIs" dxfId="14" priority="24" operator="lessThan">
      <formula>0</formula>
    </cfRule>
  </conditionalFormatting>
  <conditionalFormatting sqref="G83:G163">
    <cfRule type="cellIs" dxfId="13" priority="5" operator="equal">
      <formula>"MAJORS"</formula>
    </cfRule>
    <cfRule type="cellIs" dxfId="12" priority="6" operator="equal">
      <formula>"Exotics"</formula>
    </cfRule>
  </conditionalFormatting>
  <conditionalFormatting sqref="I83:I163">
    <cfRule type="cellIs" dxfId="11" priority="11" operator="equal">
      <formula>"retest"</formula>
    </cfRule>
  </conditionalFormatting>
  <conditionalFormatting sqref="L83:L163">
    <cfRule type="cellIs" dxfId="10" priority="12" operator="equal">
      <formula>"W"</formula>
    </cfRule>
    <cfRule type="cellIs" dxfId="9" priority="13" operator="equal">
      <formula>"L"</formula>
    </cfRule>
    <cfRule type="cellIs" dxfId="8" priority="14" operator="equal">
      <formula>"W"</formula>
    </cfRule>
  </conditionalFormatting>
  <conditionalFormatting sqref="AA83:AB92 AD83:AD163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AA93:AC163">
    <cfRule type="cellIs" dxfId="5" priority="3" operator="lessThan">
      <formula>0</formula>
    </cfRule>
    <cfRule type="cellIs" dxfId="4" priority="4" operator="greaterThan">
      <formula>0</formula>
    </cfRule>
  </conditionalFormatting>
  <conditionalFormatting sqref="AC92">
    <cfRule type="cellIs" dxfId="3" priority="1" operator="lessThan">
      <formula>0</formula>
    </cfRule>
    <cfRule type="cellIs" dxfId="2" priority="2" operator="greaterThan">
      <formula>0</formula>
    </cfRule>
  </conditionalFormatting>
  <conditionalFormatting sqref="AF83:AF163">
    <cfRule type="cellIs" dxfId="1" priority="9" operator="greaterThan">
      <formula>0</formula>
    </cfRule>
    <cfRule type="cellIs" dxfId="0" priority="10" operator="lessThan">
      <formula>0</formula>
    </cfRule>
  </conditionalFormatting>
  <dataValidations xWindow="634" yWindow="490" count="19">
    <dataValidation type="list" allowBlank="1" showInputMessage="1" showErrorMessage="1" sqref="K40:K206" xr:uid="{00000000-0002-0000-0000-000000000000}">
      <formula1>$AM$5:$AM$6</formula1>
    </dataValidation>
    <dataValidation type="list" allowBlank="1" showInputMessage="1" showErrorMessage="1" sqref="L40:L206" xr:uid="{00000000-0002-0000-0000-000001000000}">
      <formula1>$AR$5:$AR$6</formula1>
    </dataValidation>
    <dataValidation type="list" allowBlank="1" showInputMessage="1" showErrorMessage="1" sqref="F40:F206" xr:uid="{00000000-0002-0000-0000-000003000000}">
      <formula1>$AO$5:$AO$7</formula1>
    </dataValidation>
    <dataValidation type="list" allowBlank="1" showInputMessage="1" showErrorMessage="1" sqref="D40:D206" xr:uid="{00000000-0002-0000-0000-000004000000}">
      <formula1>$AN$5:$AN$9</formula1>
    </dataValidation>
    <dataValidation type="list" allowBlank="1" showInputMessage="1" showErrorMessage="1" sqref="G40:G206" xr:uid="{00000000-0002-0000-0000-000007000000}">
      <formula1>$AV$5:$AV$9</formula1>
    </dataValidation>
    <dataValidation type="list" allowBlank="1" showInputMessage="1" showErrorMessage="1" sqref="I40:I206" xr:uid="{00000000-0002-0000-0000-000002000000}">
      <formula1>$AP$5:$AP$9</formula1>
    </dataValidation>
    <dataValidation type="list" allowBlank="1" showInputMessage="1" showErrorMessage="1" sqref="J207:J1048576" xr:uid="{E09B830C-58DD-AB48-AA17-22FA27B15463}">
      <formula1>$AQ$5:$AQ$15</formula1>
    </dataValidation>
    <dataValidation type="list" allowBlank="1" showInputMessage="1" showErrorMessage="1" sqref="L40:L206" xr:uid="{00000000-0002-0000-0000-000005000000}">
      <formula1>$AT$5:$AT$6</formula1>
    </dataValidation>
    <dataValidation type="list" allowBlank="1" showInputMessage="1" showErrorMessage="1" errorTitle="Não existente" error="O Par selecionado não existe" sqref="H40:H1048576" xr:uid="{C167ECCC-B7DC-BD4D-A660-690C90C2C4A7}">
      <formula1>$BC$5:$BC$195</formula1>
    </dataValidation>
    <dataValidation type="list" allowBlank="1" showInputMessage="1" showErrorMessage="1" sqref="J40:J206" xr:uid="{385A88B7-4306-464B-B915-D59E67185856}">
      <formula1>$AQ$5:$AQ$20</formula1>
    </dataValidation>
    <dataValidation type="list" allowBlank="1" showInputMessage="1" showErrorMessage="1" sqref="F6:F39" xr:uid="{5CE7FEC3-9CD6-4C63-BC98-F8B70E50F7FD}">
      <formula1>$AP$5:$AP$7</formula1>
    </dataValidation>
    <dataValidation type="list" allowBlank="1" showInputMessage="1" showErrorMessage="1" sqref="D6:D39" xr:uid="{83916293-3ED0-4793-8893-E5D8F76BA794}">
      <formula1>$AO$5:$AO$9</formula1>
    </dataValidation>
    <dataValidation type="list" allowBlank="1" showInputMessage="1" showErrorMessage="1" sqref="J6:J39" xr:uid="{0A23792A-1B08-4720-B8ED-C8AF2CB02960}">
      <formula1>$AR$5:$AR$20</formula1>
    </dataValidation>
    <dataValidation type="list" allowBlank="1" showInputMessage="1" showErrorMessage="1" errorTitle="Não existente" error="O Par selecionado não existe" sqref="H6:H39" xr:uid="{2312400D-0D5C-4B4B-A0BA-ED205F331EB3}">
      <formula1>$BD$5:$BD$195</formula1>
    </dataValidation>
    <dataValidation type="list" allowBlank="1" showInputMessage="1" showErrorMessage="1" sqref="L6:L39" xr:uid="{0AC13B11-AE0F-4526-BD24-FAE392591150}">
      <formula1>$AU$5:$AU$6</formula1>
    </dataValidation>
    <dataValidation type="list" allowBlank="1" showInputMessage="1" showErrorMessage="1" sqref="I6:I39" xr:uid="{C2F40736-269E-4F2E-9E25-D087FFF32307}">
      <formula1>$AQ$5:$AQ$9</formula1>
    </dataValidation>
    <dataValidation type="list" allowBlank="1" showInputMessage="1" showErrorMessage="1" sqref="G6:G39" xr:uid="{1CE5F3CB-605B-46E6-A055-D198E11ADFEC}">
      <formula1>$AW$5:$AW$9</formula1>
    </dataValidation>
    <dataValidation type="list" allowBlank="1" showInputMessage="1" showErrorMessage="1" sqref="L6:L39" xr:uid="{C39E3230-629E-4FB7-A0D4-817333A3C952}">
      <formula1>$AS$5:$AS$6</formula1>
    </dataValidation>
    <dataValidation type="list" allowBlank="1" showInputMessage="1" showErrorMessage="1" sqref="K6:K39" xr:uid="{365B5629-C98B-4D06-BB61-6DE565969B99}">
      <formula1>$AN$5:$AN$6</formula1>
    </dataValidation>
  </dataValidations>
  <hyperlinks>
    <hyperlink ref="C44" r:id="rId1" display="https://www.tradingview.com/x/hcrzIZv7/" xr:uid="{B73162F0-D09B-42D4-A1D1-3417E0ED131A}"/>
    <hyperlink ref="C46" r:id="rId2" display="https://www.tradingview.com/x/6dQuixpS/" xr:uid="{1C3D57E2-72E6-4961-A4F2-AE410FB1F0D0}"/>
    <hyperlink ref="C50" r:id="rId3" display="https://www.tradingview.com/x/G072lXtA/" xr:uid="{2F870D5B-0A8B-4572-BFE5-960B04BF542F}"/>
    <hyperlink ref="C51" r:id="rId4" display="https://www.tradingview.com/x/I6c4RB26/" xr:uid="{6CA4650F-E72B-4CF1-849C-21BD60F1ADE5}"/>
    <hyperlink ref="C52" r:id="rId5" display="https://www.tradingview.com/x/J2Fnos8B/" xr:uid="{C1AECD1D-EB3E-4C04-BCA4-DC286ABB4A14}"/>
    <hyperlink ref="C53" r:id="rId6" display="https://www.tradingview.com/x/rWZfiIpf/" xr:uid="{5759A15B-CC66-4C28-ABF5-D56853A66C21}"/>
    <hyperlink ref="C54" r:id="rId7" display="https://www.tradingview.com/x/N9h8F6UJ/" xr:uid="{8807E1EF-164A-418D-857A-5D280A72868B}"/>
    <hyperlink ref="C55" r:id="rId8" display="https://www.tradingview.com/x/Nw7Pmsfc/" xr:uid="{55F6652D-4F03-48A9-85F2-794AF3AED210}"/>
    <hyperlink ref="C30" r:id="rId9" display="https://www.tradingview.com/x/e72OGSUp/" xr:uid="{22F05A13-F39A-409A-A1A4-0799420A1513}"/>
    <hyperlink ref="C29" r:id="rId10" display="https://www.tradingview.com/x/KGcg4Af5/" xr:uid="{07B292E2-39F1-402D-A6B0-3EF43092E0AD}"/>
    <hyperlink ref="C31" r:id="rId11" display="https://www.tradingview.com/x/zeT6nsYU/" xr:uid="{67D673D4-212D-48D5-876B-4654B13F2C28}"/>
    <hyperlink ref="C32" r:id="rId12" display="https://www.tradingview.com/x/9GVopU35/" xr:uid="{BC38B3CF-A94F-422A-9DE6-35C5DB785408}"/>
    <hyperlink ref="C35" r:id="rId13" display="https://www.tradingview.com/x/KIdVrS9h/" xr:uid="{146AA2C6-3C0D-48C4-B00D-37AFBB6EA67A}"/>
    <hyperlink ref="C43" r:id="rId14" display="https://www.tradingview.com/x/hylS7w4C/" xr:uid="{F9307B1E-DCAC-4B51-8CC2-8706B66295B2}"/>
    <hyperlink ref="C56" r:id="rId15" display="https://www.tradingview.com/x/Wb2dLTlJ/" xr:uid="{0122A0A0-C7C4-460B-9BB2-732D2FB36E0E}"/>
    <hyperlink ref="C57" r:id="rId16" display="https://www.tradingview.com/x/54b5kdxR/" xr:uid="{E65CAABE-1056-450A-9877-14F7A8E40681}"/>
    <hyperlink ref="C58" r:id="rId17" display="https://www.tradingview.com/x/OLUNTuhi/" xr:uid="{1FC88BC4-67C9-48EE-86E9-12EE0FD9E5EB}"/>
    <hyperlink ref="C61" r:id="rId18" display="https://www.tradingview.com/x/qmOvnK0D/" xr:uid="{86AF41BA-7D74-44EB-B133-E35C525106DF}"/>
    <hyperlink ref="C60" r:id="rId19" display="https://www.tradingview.com/x/2bhLK8iZ/" xr:uid="{D52D7F71-5DF2-4E75-AAB4-D6D1E88E5426}"/>
    <hyperlink ref="C62" r:id="rId20" display="https://www.tradingview.com/x/bgzNaQ8l/" xr:uid="{239FB4EB-EEB4-4AA8-B70E-477E337B2564}"/>
    <hyperlink ref="C63" r:id="rId21" display="https://www.tradingview.com/x/SExglLT8/" xr:uid="{6B5151D8-E2DD-4FD2-861B-BDDF9348E949}"/>
    <hyperlink ref="C64" r:id="rId22" display="https://www.tradingview.com/x/VT479OdR/" xr:uid="{D9D588FC-42E3-4998-A942-6037E26E28B0}"/>
    <hyperlink ref="C66" r:id="rId23" display="https://www.tradingview.com/x/4Mh0cQDK/" xr:uid="{6F67D12A-A3A3-4F8D-A374-6EBFA143F36F}"/>
    <hyperlink ref="C65" r:id="rId24" display="https://www.tradingview.com/x/CLTqR8jJ/" xr:uid="{D1EEF6F6-92D9-4565-B275-D935231A9B8F}"/>
    <hyperlink ref="C67" r:id="rId25" display="https://www.tradingview.com/x/Ite0gR9h/" xr:uid="{53B8D014-BA88-4013-A540-B76C32114BAF}"/>
    <hyperlink ref="C70" r:id="rId26" display="https://www.tradingview.com/x/DrhWhGBl/" xr:uid="{47507378-5D93-427A-9468-CD2417299EF9}"/>
    <hyperlink ref="C68" r:id="rId27" display="https://www.tradingview.com/x/VWmFEvTg/" xr:uid="{61ECFABE-FEFA-4889-8748-B5960E68136C}"/>
    <hyperlink ref="C59" r:id="rId28" display="https://www.tradingview.com/x/mKnfSszB/" xr:uid="{419442BC-4B2F-47F7-A745-6A1F782F0B53}"/>
    <hyperlink ref="C72" r:id="rId29" display="https://www.tradingview.com/x/YnGe3eda/" xr:uid="{388F22C0-7420-4326-8061-808F7E8B9FEA}"/>
    <hyperlink ref="C73" r:id="rId30" display="https://www.tradingview.com/x/zhmrzCK8/" xr:uid="{2D1DA1C7-2D32-4199-B5FB-CE7B38A85A73}"/>
    <hyperlink ref="C74" r:id="rId31" display="https://www.tradingview.com/x/E6B4ybxL/" xr:uid="{C7193EC4-FCA7-46B4-A974-FBBC5699DAF7}"/>
    <hyperlink ref="C75" r:id="rId32" display="https://www.tradingview.com/x/xqkGvB9m/" xr:uid="{2BE97182-942C-4912-ADAA-A6604142CEEC}"/>
    <hyperlink ref="C79" r:id="rId33" display="https://www.tradingview.com/x/aN2vLyGg/" xr:uid="{49F7DB20-4D1C-4F00-83EF-43292B8B2FE5}"/>
    <hyperlink ref="C76" r:id="rId34" display="https://www.tradingview.com/x/vwXb1E8i/" xr:uid="{1DBB3450-896D-4888-8AA8-6441E4E9CA0B}"/>
    <hyperlink ref="C77" r:id="rId35" display="https://www.tradingview.com/x/iC6iSmsk/" xr:uid="{A52FCAA2-8805-4FB1-80AA-BEF78FE84681}"/>
    <hyperlink ref="C78" r:id="rId36" display="https://www.tradingview.com/x/HTEEpPZl/" xr:uid="{566A8F7D-B1D0-4489-A9D1-440035D70FED}"/>
    <hyperlink ref="C81" r:id="rId37" display="https://www.tradingview.com/x/mx4g6CrG/" xr:uid="{BD0045EA-9E1E-4205-A853-BCCD732E5622}"/>
    <hyperlink ref="C80" r:id="rId38" display="https://www.tradingview.com/x/yq7wV3I0/" xr:uid="{850CE055-DAF4-44FD-8BD6-36A46BD65719}"/>
    <hyperlink ref="C82" r:id="rId39" display="https://www.tradingview.com/x/idzAprgA/" xr:uid="{77A46A22-41E9-47E0-A8DB-3981264D4DB9}"/>
    <hyperlink ref="C71" r:id="rId40" display="https://www.tradingview.com/x/M5sESYcZ/" xr:uid="{E9B7B815-D714-44E7-A1D4-804932EA9CB8}"/>
    <hyperlink ref="C69" r:id="rId41" display="https://www.tradingview.com/x/76fA38eY/" xr:uid="{A7620420-CEAE-4EAC-BBCD-C84F9515BB5C}"/>
    <hyperlink ref="C33" r:id="rId42" display="https://www.tradingview.com/x/Qhjb6txp/" xr:uid="{45D75328-81E5-4CE3-ADAC-7696CFDCACD4}"/>
    <hyperlink ref="C34" r:id="rId43" display="https://www.tradingview.com/x/V9Fdwt2M/" xr:uid="{8346CB8D-FA65-49A1-8983-852EC5E34ECC}"/>
    <hyperlink ref="C36" r:id="rId44" display="https://www.tradingview.com/x/Q10M334s/" xr:uid="{180A99FF-EA4E-4586-8A70-DDE69B517077}"/>
    <hyperlink ref="C37" r:id="rId45" display="https://www.tradingview.com/x/BNZWUgo8/" xr:uid="{150A2F2D-4ADE-4FC3-8A97-522E2E80FD31}"/>
    <hyperlink ref="C38" r:id="rId46" display="https://www.tradingview.com/x/Y95366oA/" xr:uid="{0672539E-7508-4312-B5E8-002D13DC499F}"/>
    <hyperlink ref="C39" r:id="rId47" display="https://www.tradingview.com/x/kW3o7AX1/" xr:uid="{B88F3041-6176-40E8-8BBE-D16C34E59EC6}"/>
    <hyperlink ref="C40" r:id="rId48" display="https://www.tradingview.com/x/ey4s8Ap9/" xr:uid="{7A3BDFB4-69FB-4BA0-88E5-511303AD460D}"/>
    <hyperlink ref="C41" r:id="rId49" display="https://www.tradingview.com/x/8164WTP1/" xr:uid="{45883D77-EF55-45AE-A0B5-6BA1DED04313}"/>
    <hyperlink ref="C42" r:id="rId50" display="https://www.tradingview.com/x/nODtgTfI/" xr:uid="{5379D5DE-2319-4C39-8584-B9A1C20E65C4}"/>
    <hyperlink ref="C45" r:id="rId51" display="https://www.tradingview.com/x/fgtpH1SC/" xr:uid="{A370EA09-D217-4CFA-B5D1-51225C86ED0A}"/>
    <hyperlink ref="C47" r:id="rId52" display="https://www.tradingview.com/x/eBXNVkh8/" xr:uid="{1D1DD139-8D55-4504-88EA-0B158E909260}"/>
    <hyperlink ref="C48" r:id="rId53" display="https://www.tradingview.com/x/ChUtNoj0/" xr:uid="{84B7D4DC-3CBE-4573-822B-604C403DD63D}"/>
    <hyperlink ref="C49" r:id="rId54" display="https://www.tradingview.com/x/IxZ2USVj/" xr:uid="{FE187D02-A541-4C65-A5BD-102ABF7D17DC}"/>
    <hyperlink ref="C83" r:id="rId55" display="https://www.tradingview.com/x/i1cAwdQj/" xr:uid="{BF906D7B-0108-411D-BA1F-C589F4BC61DE}"/>
    <hyperlink ref="C89" r:id="rId56" display="https://www.tradingview.com/x/aN2vLyGg/" xr:uid="{480B55A4-140C-44EA-9D69-47655754779E}"/>
    <hyperlink ref="C99" r:id="rId57" display="https://www.tradingview.com/x/aN2vLyGg/" xr:uid="{77278D36-8C3E-4902-8258-DCCFAAF79D0E}"/>
    <hyperlink ref="C109" r:id="rId58" display="https://www.tradingview.com/x/aN2vLyGg/" xr:uid="{58EFEC55-B415-4587-BAFD-A3DDAA1E81D6}"/>
    <hyperlink ref="C119" r:id="rId59" display="https://www.tradingview.com/x/aN2vLyGg/" xr:uid="{5AE8EA26-860C-4ED1-BC03-98C1A292D907}"/>
    <hyperlink ref="C129" r:id="rId60" display="https://www.tradingview.com/x/aN2vLyGg/" xr:uid="{DB175CC8-004C-4B39-B132-05CA31EC9C36}"/>
    <hyperlink ref="C139" r:id="rId61" display="https://www.tradingview.com/x/aN2vLyGg/" xr:uid="{FE758A75-FF09-4DB9-AA8F-E2B84BB86CCE}"/>
    <hyperlink ref="C149" r:id="rId62" display="https://www.tradingview.com/x/aN2vLyGg/" xr:uid="{77ECDB16-F541-434B-9AE1-2E2255AE0620}"/>
    <hyperlink ref="C159" r:id="rId63" display="https://www.tradingview.com/x/aN2vLyGg/" xr:uid="{8234E2C8-21EC-4287-878A-EB5C46254C33}"/>
    <hyperlink ref="C86" r:id="rId64" display="https://www.tradingview.com/x/vwXb1E8i/" xr:uid="{5EC14708-A594-422E-B63D-247DAF122ED3}"/>
    <hyperlink ref="C96" r:id="rId65" display="https://www.tradingview.com/x/vwXb1E8i/" xr:uid="{6D5E4D04-B5FB-40A7-B82E-BBEEB3CF5371}"/>
    <hyperlink ref="C106" r:id="rId66" display="https://www.tradingview.com/x/vwXb1E8i/" xr:uid="{40A227BF-1486-4DEF-86B4-10386F957F49}"/>
    <hyperlink ref="C116" r:id="rId67" display="https://www.tradingview.com/x/vwXb1E8i/" xr:uid="{C7AFEFAF-B06C-4ACC-ADDC-6C22016F47FC}"/>
    <hyperlink ref="C126" r:id="rId68" display="https://www.tradingview.com/x/vwXb1E8i/" xr:uid="{3F3E18E3-D104-41D3-ABD2-1ABBB4CEA8D8}"/>
    <hyperlink ref="C136" r:id="rId69" display="https://www.tradingview.com/x/vwXb1E8i/" xr:uid="{FADCDAD7-3C14-4717-AD2C-115DCFD6BAA5}"/>
    <hyperlink ref="C146" r:id="rId70" display="https://www.tradingview.com/x/vwXb1E8i/" xr:uid="{7C4081F6-36C9-45CF-8DD5-606482C74039}"/>
    <hyperlink ref="C156" r:id="rId71" display="https://www.tradingview.com/x/vwXb1E8i/" xr:uid="{7799E889-3159-438B-BBEB-FCB51699E2F4}"/>
    <hyperlink ref="C87" r:id="rId72" display="https://www.tradingview.com/x/iC6iSmsk/" xr:uid="{C4855795-707E-4755-8139-4C50F0CC5FA0}"/>
    <hyperlink ref="C97" r:id="rId73" display="https://www.tradingview.com/x/iC6iSmsk/" xr:uid="{C50A2F05-0880-453D-8134-EC7FBF130F2C}"/>
    <hyperlink ref="C107" r:id="rId74" display="https://www.tradingview.com/x/iC6iSmsk/" xr:uid="{3F106B5B-DDA2-4ECE-8481-06A8551D2633}"/>
    <hyperlink ref="C117" r:id="rId75" display="https://www.tradingview.com/x/iC6iSmsk/" xr:uid="{B380C64B-7500-4185-8BF6-5BE4740028F5}"/>
    <hyperlink ref="C127" r:id="rId76" display="https://www.tradingview.com/x/iC6iSmsk/" xr:uid="{59639E16-9F50-4C89-9464-E1CFBB0291E9}"/>
    <hyperlink ref="C137" r:id="rId77" display="https://www.tradingview.com/x/iC6iSmsk/" xr:uid="{802343EE-3DAE-4E2B-B1C7-0D67CBDCAD2A}"/>
    <hyperlink ref="C147" r:id="rId78" display="https://www.tradingview.com/x/iC6iSmsk/" xr:uid="{E92CED36-8000-4C61-9412-BF588CD8967D}"/>
    <hyperlink ref="C157" r:id="rId79" display="https://www.tradingview.com/x/iC6iSmsk/" xr:uid="{8145A04C-B797-4A70-B4F1-721D60542D9B}"/>
    <hyperlink ref="C88" r:id="rId80" display="https://www.tradingview.com/x/HTEEpPZl/" xr:uid="{9BFE3CF1-81A9-4312-B20D-9CE3ACEEADB3}"/>
    <hyperlink ref="C98" r:id="rId81" display="https://www.tradingview.com/x/HTEEpPZl/" xr:uid="{7F1E4402-191F-4949-A185-39F0DD7890AB}"/>
    <hyperlink ref="C108" r:id="rId82" display="https://www.tradingview.com/x/HTEEpPZl/" xr:uid="{2071D577-D8C2-479F-AFA5-C1A378F2754A}"/>
    <hyperlink ref="C118" r:id="rId83" display="https://www.tradingview.com/x/HTEEpPZl/" xr:uid="{9EFF9A05-4495-489E-A204-40C003263934}"/>
    <hyperlink ref="C128" r:id="rId84" display="https://www.tradingview.com/x/HTEEpPZl/" xr:uid="{2CB1D3B3-E463-448F-AC48-931C202615A7}"/>
    <hyperlink ref="C138" r:id="rId85" display="https://www.tradingview.com/x/HTEEpPZl/" xr:uid="{6DAE5B77-05BA-4E73-BF9D-ADBFE2DD68E9}"/>
    <hyperlink ref="C148" r:id="rId86" display="https://www.tradingview.com/x/HTEEpPZl/" xr:uid="{FC7A424C-9928-4545-9E05-D1B9EB9E4005}"/>
    <hyperlink ref="C158" r:id="rId87" display="https://www.tradingview.com/x/HTEEpPZl/" xr:uid="{86734525-8872-44E7-B365-C2535722A19E}"/>
    <hyperlink ref="C91" r:id="rId88" display="https://www.tradingview.com/x/mx4g6CrG/" xr:uid="{DD2AECC0-E34F-4857-A340-715CCDC559D9}"/>
    <hyperlink ref="C101" r:id="rId89" display="https://www.tradingview.com/x/mx4g6CrG/" xr:uid="{14B3BC3A-14FE-43C6-8CC9-E9AD6DB57376}"/>
    <hyperlink ref="C111" r:id="rId90" display="https://www.tradingview.com/x/mx4g6CrG/" xr:uid="{30F06456-D678-4188-949E-08338C14D0FD}"/>
    <hyperlink ref="C121" r:id="rId91" display="https://www.tradingview.com/x/mx4g6CrG/" xr:uid="{61F9BF02-33DA-4368-8C16-58DA1E9A36B3}"/>
    <hyperlink ref="C131" r:id="rId92" display="https://www.tradingview.com/x/mx4g6CrG/" xr:uid="{76785BBE-AC3E-4FC6-95D6-871827539AD1}"/>
    <hyperlink ref="C141" r:id="rId93" display="https://www.tradingview.com/x/mx4g6CrG/" xr:uid="{61AB3F75-ECE8-449E-8AC4-9ADA56B275DE}"/>
    <hyperlink ref="C151" r:id="rId94" display="https://www.tradingview.com/x/mx4g6CrG/" xr:uid="{0B686E92-D250-4FC6-BCDA-30E3B84D4E45}"/>
    <hyperlink ref="C161" r:id="rId95" display="https://www.tradingview.com/x/mx4g6CrG/" xr:uid="{47E30F1E-B325-43F7-B714-70A66B18B2E8}"/>
    <hyperlink ref="C90" r:id="rId96" display="https://www.tradingview.com/x/yq7wV3I0/" xr:uid="{343B8A83-7CB5-4E84-81F3-29125844D4B7}"/>
    <hyperlink ref="C100" r:id="rId97" display="https://www.tradingview.com/x/yq7wV3I0/" xr:uid="{018727F8-7A62-4AD1-8DA7-245ADECC5A3B}"/>
    <hyperlink ref="C110" r:id="rId98" display="https://www.tradingview.com/x/yq7wV3I0/" xr:uid="{7AC5F8E3-F0FF-4BE6-8ACF-9A8097DFF028}"/>
    <hyperlink ref="C120" r:id="rId99" display="https://www.tradingview.com/x/yq7wV3I0/" xr:uid="{7CA4EC0C-8002-4878-9BB3-185B9AD93424}"/>
    <hyperlink ref="C130" r:id="rId100" display="https://www.tradingview.com/x/yq7wV3I0/" xr:uid="{8DB6599A-6189-4456-957A-5C4EE5AADF38}"/>
    <hyperlink ref="C140" r:id="rId101" display="https://www.tradingview.com/x/yq7wV3I0/" xr:uid="{48C1D6A0-F391-466D-9FBD-C510B4F4F775}"/>
    <hyperlink ref="C150" r:id="rId102" display="https://www.tradingview.com/x/yq7wV3I0/" xr:uid="{0BE0C795-597F-482A-B4AC-8CE1063D9BDE}"/>
    <hyperlink ref="C160" r:id="rId103" display="https://www.tradingview.com/x/yq7wV3I0/" xr:uid="{478366F2-DAAC-4E6D-8992-4C8A72AB7870}"/>
    <hyperlink ref="C92" r:id="rId104" display="https://www.tradingview.com/x/idzAprgA/" xr:uid="{E8AF42D2-4CEF-4386-B05E-17D3BA0AA891}"/>
    <hyperlink ref="C102" r:id="rId105" display="https://www.tradingview.com/x/idzAprgA/" xr:uid="{8D220D0D-83EA-4525-8474-F4EF5C6004C9}"/>
    <hyperlink ref="C112" r:id="rId106" display="https://www.tradingview.com/x/idzAprgA/" xr:uid="{15EF4E5F-6D83-4E16-AD26-57405E73C37C}"/>
    <hyperlink ref="C122" r:id="rId107" display="https://www.tradingview.com/x/idzAprgA/" xr:uid="{5EF9BAEE-ED27-41D2-A452-F375F6BED8CD}"/>
    <hyperlink ref="C132" r:id="rId108" display="https://www.tradingview.com/x/idzAprgA/" xr:uid="{48B7A4A9-E65F-47B3-BD7A-54E72EC04749}"/>
    <hyperlink ref="C142" r:id="rId109" display="https://www.tradingview.com/x/idzAprgA/" xr:uid="{603853EE-0F31-46BB-948E-995DB8B13F6C}"/>
    <hyperlink ref="C152" r:id="rId110" display="https://www.tradingview.com/x/idzAprgA/" xr:uid="{31F493C4-3B30-4C39-8BA4-AFA105E2790A}"/>
    <hyperlink ref="C162" r:id="rId111" display="https://www.tradingview.com/x/idzAprgA/" xr:uid="{B3E71456-FE6E-4178-BF27-912BF27EF7CF}"/>
    <hyperlink ref="C93" r:id="rId112" display="https://www.tradingview.com/x/i1cAwdQj/" xr:uid="{D327A367-D5FC-434F-8DF3-1A59972785E3}"/>
    <hyperlink ref="C103" r:id="rId113" display="https://www.tradingview.com/x/i1cAwdQj/" xr:uid="{8AE598B7-55E9-4879-87B1-8B5C2C9061DC}"/>
    <hyperlink ref="C113" r:id="rId114" display="https://www.tradingview.com/x/i1cAwdQj/" xr:uid="{7CF7708C-4B77-45D6-B266-B334F8DEED00}"/>
    <hyperlink ref="C123" r:id="rId115" display="https://www.tradingview.com/x/i1cAwdQj/" xr:uid="{E4DE6EE4-04D9-4387-9048-22195FE23EF8}"/>
    <hyperlink ref="C133" r:id="rId116" display="https://www.tradingview.com/x/i1cAwdQj/" xr:uid="{75B81A9E-DD66-4362-9D5D-C1993DC898CA}"/>
    <hyperlink ref="C143" r:id="rId117" display="https://www.tradingview.com/x/i1cAwdQj/" xr:uid="{12388D66-1E2F-463D-B273-CACBED6B5F5C}"/>
    <hyperlink ref="C153" r:id="rId118" display="https://www.tradingview.com/x/i1cAwdQj/" xr:uid="{80914DF5-C6D7-4279-AF60-0F1D8435014D}"/>
    <hyperlink ref="C163" r:id="rId119" display="https://www.tradingview.com/x/i1cAwdQj/" xr:uid="{32DF7295-7AD6-4C9F-A414-F292C836199A}"/>
  </hyperlinks>
  <pageMargins left="0.7" right="0.7" top="0.75" bottom="0.75" header="0.3" footer="0.3"/>
  <pageSetup paperSize="9" scale="12" orientation="landscape" horizontalDpi="300" verticalDpi="300" r:id="rId120"/>
  <legacyDrawing r:id="rId12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88A19E-09C8-490E-8B60-68250DAFC01D}">
            <x14:dataBar minLength="0" maxLength="100" border="1" gradient="0">
              <x14:cfvo type="autoMin"/>
              <x14:cfvo type="autoMax"/>
              <x14:borderColor theme="1" tint="0.499984740745262"/>
              <x14:negativeFillColor rgb="FFFF0000"/>
              <x14:axisColor rgb="FF000000"/>
            </x14:dataBar>
          </x14:cfRule>
          <xm:sqref>AZ5:AZ15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 Oliveira</dc:creator>
  <cp:keywords/>
  <dc:description/>
  <cp:lastModifiedBy>Gabriela Eduarda</cp:lastModifiedBy>
  <cp:revision/>
  <dcterms:created xsi:type="dcterms:W3CDTF">2020-02-26T14:06:54Z</dcterms:created>
  <dcterms:modified xsi:type="dcterms:W3CDTF">2026-07-29T06:30:59Z</dcterms:modified>
  <cp:category/>
  <cp:contentStatus/>
</cp:coreProperties>
</file>